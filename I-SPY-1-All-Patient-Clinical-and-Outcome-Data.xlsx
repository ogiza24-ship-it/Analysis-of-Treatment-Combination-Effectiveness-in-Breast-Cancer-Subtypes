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Clinical Data Dictionary" sheetId="2" r:id="rId6"/>
    <sheet name="TCIA Patient Clinical Subset" sheetId="3" r:id="rId7"/>
    <sheet name="Outcome Data Dictionary" sheetId="4" r:id="rId8"/>
    <sheet name="TCIA Outcomes Subset" sheetId="5" r:id="rId9"/>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<sst xmlns="http://schemas.openxmlformats.org/spreadsheetml/2006/main" uniqueCount="131">
  <si>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</si>
  <si>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</si>
  <si>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</si>
  <si>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</si>
  <si>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Clinical Data Dictionary</t>
  </si>
  <si>
    <t>Table 1</t>
  </si>
  <si>
    <t xml:space="preserve">I-SPY 1 TRIAL: </t>
  </si>
  <si>
    <t>ACRIN 6657</t>
  </si>
  <si>
    <t>Data Dictionary for TCIA Shared Patient Clinical Variables, July 14, 2015</t>
  </si>
  <si>
    <t>Data sheet is locked to protect from accidental changes. PW= UCSF6657</t>
  </si>
  <si>
    <t>Subset of: Data Dictionary for Final, Verified Integrated Data File, March 1, 2011</t>
  </si>
  <si>
    <t>UPDATES</t>
  </si>
  <si>
    <t>April 6, 2016, Replaced Her2CommPos with Her2MostPos to agree with ACRIN statistical analysis for primary aim paper.
Changed "ISPY ID" header to "SUBJECTID" for consistancy with training data set in BMMR</t>
  </si>
  <si>
    <t>Variable Name</t>
  </si>
  <si>
    <t>Variable Description</t>
  </si>
  <si>
    <t>Format</t>
  </si>
  <si>
    <t>SUBJECTID</t>
  </si>
  <si>
    <t>I-SPY ID de-identifies a patient’s CALGB and ACRIN ID</t>
  </si>
  <si>
    <t>Integer</t>
  </si>
  <si>
    <t>1001-1239</t>
  </si>
  <si>
    <t>DataExtractDt</t>
  </si>
  <si>
    <t>Date clinical data was downloaded from the CALGB database</t>
  </si>
  <si>
    <t xml:space="preserve">Date format </t>
  </si>
  <si>
    <t>mm/dd/yyyy</t>
  </si>
  <si>
    <t>Patient Demographics</t>
  </si>
  <si>
    <t>Age</t>
  </si>
  <si>
    <t>Patient Age</t>
  </si>
  <si>
    <t>Number</t>
  </si>
  <si>
    <t>race_id</t>
  </si>
  <si>
    <t>Patient Race</t>
  </si>
  <si>
    <t>1=Caucasian</t>
  </si>
  <si>
    <t>3=African American</t>
  </si>
  <si>
    <t>4=Asian</t>
  </si>
  <si>
    <t>5=Native Hawaiian/Pacific Islander</t>
  </si>
  <si>
    <t>6=American Indian/Alaskan Native</t>
  </si>
  <si>
    <t>50=Multiple race</t>
  </si>
  <si>
    <t>On-Study Data  (Pre-Treatment)</t>
  </si>
  <si>
    <t>ERpos</t>
  </si>
  <si>
    <t>Estrogen Receptor Status (Allred Score or Community determined), pre-treatment</t>
  </si>
  <si>
    <t>0=Negative</t>
  </si>
  <si>
    <t>1=Positive</t>
  </si>
  <si>
    <t>2=Indeterminate</t>
  </si>
  <si>
    <t>PgRpos</t>
  </si>
  <si>
    <t>Progesterone Receptor Status (Allred Score or Community determined), pre-treatment</t>
  </si>
  <si>
    <t>HR Pos</t>
  </si>
  <si>
    <t>Hormone Receptor Status, pre-treatment</t>
  </si>
  <si>
    <t>0=Negative for both ER and PR</t>
  </si>
  <si>
    <t>1=Positive if either ER or PR was Positive</t>
  </si>
  <si>
    <t>2=Indeterminate if both ER and PR were Indeterminate</t>
  </si>
  <si>
    <t>Her2MostPos
(replaced Her2CommPos, 4/6/2016)</t>
  </si>
  <si>
    <t>Her2 Status, pre-treatment, adding in Central Her2 IHC results for missing Community Status</t>
  </si>
  <si>
    <t>Blank= indeterminate or not done</t>
  </si>
  <si>
    <t>HR_HER2_CATEGORY</t>
  </si>
  <si>
    <t>3-level HR/Her2 category pre-treatment</t>
  </si>
  <si>
    <t>1=HR Positive, Her2 Negative</t>
  </si>
  <si>
    <t>2=Her2 Positive</t>
  </si>
  <si>
    <t>3=Triple Negative</t>
  </si>
  <si>
    <t>HR_HER2_STATUS</t>
  </si>
  <si>
    <t>3-level HR/Her2 status pre-treatment</t>
  </si>
  <si>
    <t>Text</t>
  </si>
  <si>
    <t>HRposHER2neg = HR Positive, Her2 Negative</t>
  </si>
  <si>
    <t>HER2pos = Her2 Positive</t>
  </si>
  <si>
    <t>TripleNeg =Triple Negative</t>
  </si>
  <si>
    <t>BilateralCa</t>
  </si>
  <si>
    <t>Does the patient have bilateral breast cancer prior to neoadjuvant therapy?</t>
  </si>
  <si>
    <t>0=No</t>
  </si>
  <si>
    <t>1=Yes</t>
  </si>
  <si>
    <t>Laterality</t>
  </si>
  <si>
    <t>Index Tumor Laterality</t>
  </si>
  <si>
    <t>1=Left</t>
  </si>
  <si>
    <t>2=Right</t>
  </si>
  <si>
    <t>Imaging Data</t>
  </si>
  <si>
    <t>MRI LD:</t>
  </si>
  <si>
    <t>LD spans all disease present (inv &amp; DCIS) even if there is intervening normal tissue, in mm</t>
  </si>
  <si>
    <t>Baseline</t>
  </si>
  <si>
    <t>Timepoint 1= baseline</t>
  </si>
  <si>
    <t>1-3d AC</t>
  </si>
  <si>
    <t>Timepoint 2= 1-3days after start of AC</t>
  </si>
  <si>
    <t>InterReg</t>
  </si>
  <si>
    <t>Timepoint 3= Inter-regimen</t>
  </si>
  <si>
    <t>PreSurg</t>
  </si>
  <si>
    <t>Timepint 4= Pre-Surgery</t>
  </si>
  <si>
    <t>Blank=not available</t>
  </si>
  <si>
    <t xml:space="preserve">*Of Note: Clinical Response &amp; Evaluation is to coincide with MRI schedule.  </t>
  </si>
  <si>
    <t>T1= Pre-Treatment/Baseline</t>
  </si>
  <si>
    <t>T2 = Early Treatment Day1, cycle 2</t>
  </si>
  <si>
    <t>T3= Inter-Regimen</t>
  </si>
  <si>
    <t>T4= Prior to Surgery for Response evaluation form and sample Post-surgery</t>
  </si>
  <si>
    <t>TCIA Patient Clinical Subset</t>
  </si>
  <si>
    <t>age</t>
  </si>
  <si>
    <t>Her2MostPos</t>
  </si>
  <si>
    <t>MRI LD Baseline</t>
  </si>
  <si>
    <t>MRI LD 1-3dAC</t>
  </si>
  <si>
    <t>MRI LD InterReg</t>
  </si>
  <si>
    <t>MRI LD PreSurg</t>
  </si>
  <si>
    <t>HRposHER2neg</t>
  </si>
  <si>
    <t>TripleNeg</t>
  </si>
  <si>
    <t>HER2pos</t>
  </si>
  <si>
    <t>Outcome Data Dictionary</t>
  </si>
  <si>
    <t xml:space="preserve">I-SPY TRIAL: </t>
  </si>
  <si>
    <t>Data Dictionary for TCIA Shared Outcome Variables, July 14, 2015</t>
  </si>
  <si>
    <t>April 7, 2016, 
Changed "ISPY ID" header to "SUBJECTID" for consistancy with training data set in BMMR</t>
  </si>
  <si>
    <t>Sstat</t>
  </si>
  <si>
    <t>Survival Status</t>
  </si>
  <si>
    <t>7=Alive</t>
  </si>
  <si>
    <t>8= Dead</t>
  </si>
  <si>
    <t>9=Lost</t>
  </si>
  <si>
    <t>SurvDtD</t>
  </si>
  <si>
    <t>Survival date (time from study entry to death or last follow-up; time unit is days</t>
  </si>
  <si>
    <t>RFS</t>
  </si>
  <si>
    <t>Recurrence-free survival time – time from neoadjuvant chemotherapy start date until earliest: local or distant progression or death 
(time unit is days)</t>
  </si>
  <si>
    <t>RFS_ind</t>
  </si>
  <si>
    <t>Recurrence-free survival indicator 1=event (local or distant progression or death)</t>
  </si>
  <si>
    <t>0=censor at last follow-up</t>
  </si>
  <si>
    <t>pCR</t>
  </si>
  <si>
    <t>Pathologic Complete Response, post-neoadjuvant 
(no residual invasive disease in breast or lymph nodes; presence of only in situ disease are considered disease free):</t>
  </si>
  <si>
    <t>0= No (did not achieve pCR)</t>
  </si>
  <si>
    <t>1= Yes</t>
  </si>
  <si>
    <t>Blank= no surgery</t>
  </si>
  <si>
    <t>RCBClass</t>
  </si>
  <si>
    <t>Residual Cancer Burden class:</t>
  </si>
  <si>
    <t>0= 0, RCB index 0</t>
  </si>
  <si>
    <t>1= I, RCB index less than or equal to 1.36</t>
  </si>
  <si>
    <t>2= II, RCB index greater than 1.36 or equal to 3.28</t>
  </si>
  <si>
    <t>3= III, RCB index greater than 3.28</t>
  </si>
  <si>
    <t>Blank= unavailable or no surgery</t>
  </si>
  <si>
    <t>TCIA Outcomes Subset</t>
  </si>
  <si>
    <t>sstat</t>
  </si>
  <si>
    <t>survDtD2 (tx)</t>
  </si>
  <si>
    <t>rfs_ind</t>
  </si>
  <si>
    <t>PCR</t>
  </si>
</sst>
</file>

<file path=xl/styles.xml><?xml version="1.0" encoding="utf-8"?>
<styleSheet xmlns="http://schemas.openxmlformats.org/spreadsheetml/2006/main">
  <numFmts count="1">
    <numFmt numFmtId="0" formatCode="General"/>
  </numFmts>
  <fonts count="12">
    <font>
      <sz val="10"/>
      <color indexed="8"/>
      <name val="Arial"/>
    </font>
    <font>
      <sz val="12"/>
      <color indexed="8"/>
      <name val="Arial"/>
    </font>
    <font>
      <sz val="14"/>
      <color indexed="8"/>
      <name val="Arial"/>
    </font>
    <font>
      <sz val="12"/>
      <color indexed="8"/>
      <name val="Helvetica Neue"/>
    </font>
    <font>
      <u val="single"/>
      <sz val="12"/>
      <color indexed="11"/>
      <name val="Arial"/>
    </font>
    <font>
      <sz val="15"/>
      <color indexed="8"/>
      <name val="Calibri"/>
    </font>
    <font>
      <b val="1"/>
      <sz val="12"/>
      <color indexed="8"/>
      <name val="Arial"/>
    </font>
    <font>
      <b val="1"/>
      <sz val="12"/>
      <color indexed="8"/>
      <name val="Times New Roman"/>
    </font>
    <font>
      <sz val="12"/>
      <color indexed="8"/>
      <name val="Times New Roman"/>
    </font>
    <font>
      <b val="1"/>
      <u val="single"/>
      <sz val="12"/>
      <color indexed="8"/>
      <name val="Times New Roman"/>
    </font>
    <font>
      <sz val="11"/>
      <color indexed="8"/>
      <name val="Times New Roman"/>
    </font>
    <font>
      <sz val="10"/>
      <color indexed="8"/>
      <name val="Times New Roman"/>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5"/>
        <bgColor auto="1"/>
      </patternFill>
    </fill>
  </fills>
  <borders count="14">
    <border>
      <left/>
      <right/>
      <top/>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style="medium">
        <color indexed="8"/>
      </bottom>
      <diagonal/>
    </border>
    <border>
      <left style="thin">
        <color indexed="13"/>
      </left>
      <right style="medium">
        <color indexed="8"/>
      </right>
      <top style="thin">
        <color indexed="13"/>
      </top>
      <bottom style="thin">
        <color indexed="13"/>
      </bottom>
      <diagonal/>
    </border>
    <border>
      <left style="medium">
        <color indexed="8"/>
      </left>
      <right style="medium">
        <color indexed="8"/>
      </right>
      <top style="medium">
        <color indexed="8"/>
      </top>
      <bottom style="medium">
        <color indexed="8"/>
      </bottom>
      <diagonal/>
    </border>
    <border>
      <left style="medium">
        <color indexed="8"/>
      </left>
      <right style="thin">
        <color indexed="13"/>
      </right>
      <top style="thin">
        <color indexed="13"/>
      </top>
      <bottom style="thin">
        <color indexed="13"/>
      </bottom>
      <diagonal/>
    </border>
    <border>
      <left style="medium">
        <color indexed="8"/>
      </left>
      <right style="medium">
        <color indexed="8"/>
      </right>
      <top style="medium">
        <color indexed="8"/>
      </top>
      <bottom style="thin">
        <color indexed="13"/>
      </bottom>
      <diagonal/>
    </border>
    <border>
      <left style="medium">
        <color indexed="8"/>
      </left>
      <right style="medium">
        <color indexed="8"/>
      </right>
      <top style="thin">
        <color indexed="13"/>
      </top>
      <bottom style="medium">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style="thin">
        <color indexed="13"/>
      </top>
      <bottom style="thin">
        <color indexed="13"/>
      </bottom>
      <diagonal/>
    </border>
    <border>
      <left style="thin">
        <color indexed="13"/>
      </left>
      <right style="thin">
        <color indexed="13"/>
      </right>
      <top style="medium">
        <color indexed="8"/>
      </top>
      <bottom style="medium">
        <color indexed="8"/>
      </bottom>
      <diagonal/>
    </border>
    <border>
      <left style="thin">
        <color indexed="13"/>
      </left>
      <right style="thin">
        <color indexed="13"/>
      </right>
      <top style="medium">
        <color indexed="8"/>
      </top>
      <bottom style="thin">
        <color indexed="13"/>
      </bottom>
      <diagonal/>
    </border>
  </borders>
  <cellStyleXfs count="1">
    <xf numFmtId="0" fontId="0" applyNumberFormat="0" applyFont="1" applyFill="0" applyBorder="0" applyAlignment="1" applyProtection="0">
      <alignment vertical="bottom"/>
    </xf>
  </cellStyleXfs>
  <cellXfs count="52">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fillId="4" borderId="1" applyNumberFormat="0" applyFont="1" applyFill="1" applyBorder="1" applyAlignment="1" applyProtection="0">
      <alignment vertical="bottom"/>
    </xf>
    <xf numFmtId="49" fontId="6" fillId="4" borderId="1" applyNumberFormat="1" applyFont="1" applyFill="1" applyBorder="1" applyAlignment="1" applyProtection="0">
      <alignment vertical="bottom"/>
    </xf>
    <xf numFmtId="49" fontId="7" fillId="4" borderId="1" applyNumberFormat="1" applyFont="1" applyFill="1" applyBorder="1" applyAlignment="1" applyProtection="0">
      <alignment vertical="center"/>
    </xf>
    <xf numFmtId="0" fontId="7" fillId="4" borderId="1" applyNumberFormat="0" applyFont="1" applyFill="1" applyBorder="1" applyAlignment="1" applyProtection="0">
      <alignment vertical="center"/>
    </xf>
    <xf numFmtId="49" fontId="0" fillId="4" borderId="1" applyNumberFormat="1" applyFont="1" applyFill="1" applyBorder="1" applyAlignment="1" applyProtection="0">
      <alignment vertical="bottom" wrapText="1"/>
    </xf>
    <xf numFmtId="0" fontId="8" fillId="4" borderId="2" applyNumberFormat="0" applyFont="1" applyFill="1" applyBorder="1" applyAlignment="1" applyProtection="0">
      <alignment vertical="center"/>
    </xf>
    <xf numFmtId="0" fontId="0" fillId="4" borderId="2" applyNumberFormat="0" applyFont="1" applyFill="1" applyBorder="1" applyAlignment="1" applyProtection="0">
      <alignment vertical="bottom"/>
    </xf>
    <xf numFmtId="0" fontId="0" fillId="4" borderId="3" applyNumberFormat="0" applyFont="1" applyFill="1" applyBorder="1" applyAlignment="1" applyProtection="0">
      <alignment vertical="bottom"/>
    </xf>
    <xf numFmtId="49" fontId="9" fillId="5" borderId="4" applyNumberFormat="1" applyFont="1" applyFill="1" applyBorder="1" applyAlignment="1" applyProtection="0">
      <alignment vertical="center" wrapText="1"/>
    </xf>
    <xf numFmtId="0" fontId="0" fillId="4" borderId="5" applyNumberFormat="0" applyFont="1" applyFill="1" applyBorder="1" applyAlignment="1" applyProtection="0">
      <alignment vertical="bottom"/>
    </xf>
    <xf numFmtId="49" fontId="8" fillId="4" borderId="6" applyNumberFormat="1" applyFont="1" applyFill="1" applyBorder="1" applyAlignment="1" applyProtection="0">
      <alignment vertical="center" wrapText="1"/>
    </xf>
    <xf numFmtId="0" fontId="8" fillId="4" borderId="7" applyNumberFormat="0" applyFont="1" applyFill="1" applyBorder="1" applyAlignment="1" applyProtection="0">
      <alignment vertical="center" wrapText="1"/>
    </xf>
    <xf numFmtId="49" fontId="8" fillId="4" borderId="7" applyNumberFormat="1" applyFont="1" applyFill="1" applyBorder="1" applyAlignment="1" applyProtection="0">
      <alignment vertical="center" wrapText="1"/>
    </xf>
    <xf numFmtId="49" fontId="7" fillId="6" borderId="8" applyNumberFormat="1" applyFont="1" applyFill="1" applyBorder="1" applyAlignment="1" applyProtection="0">
      <alignment vertical="center" wrapText="1"/>
    </xf>
    <xf numFmtId="0" fontId="7" fillId="6" borderId="9" applyNumberFormat="0" applyFont="1" applyFill="1" applyBorder="1" applyAlignment="1" applyProtection="0">
      <alignment vertical="center" wrapText="1"/>
    </xf>
    <xf numFmtId="0" fontId="7" fillId="6" borderId="10" applyNumberFormat="0" applyFont="1" applyFill="1" applyBorder="1" applyAlignment="1" applyProtection="0">
      <alignment vertical="center" wrapText="1"/>
    </xf>
    <xf numFmtId="49" fontId="8" fillId="4" borderId="4" applyNumberFormat="1" applyFont="1" applyFill="1" applyBorder="1" applyAlignment="1" applyProtection="0">
      <alignment vertical="center" wrapText="1"/>
    </xf>
    <xf numFmtId="0" fontId="8" fillId="4" borderId="11" applyNumberFormat="0" applyFont="1" applyFill="1" applyBorder="1" applyAlignment="1" applyProtection="0">
      <alignment vertical="center" wrapText="1"/>
    </xf>
    <xf numFmtId="49" fontId="8" fillId="4" borderId="11" applyNumberFormat="1" applyFont="1" applyFill="1" applyBorder="1" applyAlignment="1" applyProtection="0">
      <alignment vertical="center" wrapText="1"/>
    </xf>
    <xf numFmtId="0" fontId="8" fillId="4" borderId="12" applyNumberFormat="0" applyFont="1" applyFill="1" applyBorder="1" applyAlignment="1" applyProtection="0">
      <alignment vertical="center"/>
    </xf>
    <xf numFmtId="0" fontId="0" fillId="4" borderId="12" applyNumberFormat="0" applyFont="1" applyFill="1" applyBorder="1" applyAlignment="1" applyProtection="0">
      <alignment vertical="bottom"/>
    </xf>
    <xf numFmtId="0" fontId="7" fillId="6" borderId="4" applyNumberFormat="0" applyFont="1" applyFill="1" applyBorder="1" applyAlignment="1" applyProtection="0">
      <alignment vertical="center" wrapText="1"/>
    </xf>
    <xf numFmtId="0" fontId="10" fillId="4" borderId="12" applyNumberFormat="0" applyFont="1" applyFill="1" applyBorder="1" applyAlignment="1" applyProtection="0">
      <alignment vertical="center"/>
    </xf>
    <xf numFmtId="0" fontId="0" fillId="4" borderId="7" applyNumberFormat="0" applyFont="1" applyFill="1" applyBorder="1" applyAlignment="1" applyProtection="0">
      <alignment vertical="top" wrapText="1"/>
    </xf>
    <xf numFmtId="0" fontId="11" fillId="4" borderId="13" applyNumberFormat="0" applyFont="1" applyFill="1" applyBorder="1" applyAlignment="1" applyProtection="0">
      <alignment vertical="center" wrapText="1"/>
    </xf>
    <xf numFmtId="0" fontId="0" applyNumberFormat="1" applyFont="1" applyFill="0" applyBorder="0" applyAlignment="1" applyProtection="0">
      <alignment vertical="bottom"/>
    </xf>
    <xf numFmtId="49" fontId="0" fillId="4" borderId="1" applyNumberFormat="1" applyFont="1" applyFill="1" applyBorder="1" applyAlignment="1" applyProtection="0">
      <alignment vertical="bottom"/>
    </xf>
    <xf numFmtId="0" fontId="0" fillId="4" borderId="1" applyNumberFormat="1" applyFont="1" applyFill="1" applyBorder="1" applyAlignment="1" applyProtection="0">
      <alignment vertical="bottom"/>
    </xf>
    <xf numFmtId="14" fontId="0" fillId="4" borderId="1" applyNumberFormat="1" applyFont="1" applyFill="1" applyBorder="1" applyAlignment="1" applyProtection="0">
      <alignment vertical="bottom"/>
    </xf>
    <xf numFmtId="2" fontId="0" fillId="4" borderId="1" applyNumberFormat="1" applyFont="1" applyFill="1" applyBorder="1" applyAlignment="1" applyProtection="0">
      <alignment vertical="bottom"/>
    </xf>
    <xf numFmtId="1" fontId="0" fillId="4" borderId="1" applyNumberFormat="1" applyFont="1" applyFill="1" applyBorder="1" applyAlignment="1" applyProtection="0">
      <alignmen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0" borderId="12" applyNumberFormat="0" applyFont="1" applyFill="0" applyBorder="1" applyAlignment="1" applyProtection="0">
      <alignment vertical="bottom"/>
    </xf>
    <xf numFmtId="0" fontId="8" fillId="4" borderId="13" applyNumberFormat="0" applyFont="1" applyFill="1" applyBorder="1" applyAlignment="1" applyProtection="0">
      <alignment vertical="center"/>
    </xf>
    <xf numFmtId="0" fontId="0" borderId="13" applyNumberFormat="0" applyFont="1" applyFill="0" applyBorder="1" applyAlignment="1" applyProtection="0">
      <alignment vertical="bottom"/>
    </xf>
    <xf numFmtId="0" fontId="10" fillId="4" borderId="1" applyNumberFormat="0" applyFont="1" applyFill="1" applyBorder="1" applyAlignment="1" applyProtection="0">
      <alignment vertical="center"/>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0" fontId="0" borderId="1" applyNumberFormat="1" applyFont="1" applyFill="0" applyBorder="1" applyAlignment="1" applyProtection="0">
      <alignment vertical="bottom"/>
    </xf>
    <xf numFmtId="14" fontId="0" borderId="1" applyNumberFormat="1" applyFont="1" applyFill="0" applyBorder="1" applyAlignment="1" applyProtection="0">
      <alignment vertical="bottom"/>
    </xf>
    <xf numFmtId="1" fontId="0" borderId="1"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e0e0e0"/>
      <rgbColor rgb="ffe6e6e6"/>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88</v>
      </c>
      <c r="C11" s="3"/>
      <c r="D11" s="3"/>
    </row>
    <row r="12">
      <c r="B12" s="4"/>
      <c r="C12" t="s" s="4">
        <v>5</v>
      </c>
      <c r="D12" t="s" s="5">
        <v>88</v>
      </c>
    </row>
    <row r="13">
      <c r="B13" t="s" s="3">
        <v>98</v>
      </c>
      <c r="C13" s="3"/>
      <c r="D13" s="3"/>
    </row>
    <row r="14">
      <c r="B14" s="4"/>
      <c r="C14" t="s" s="4">
        <v>5</v>
      </c>
      <c r="D14" t="s" s="5">
        <v>98</v>
      </c>
    </row>
    <row r="15">
      <c r="B15" t="s" s="3">
        <v>126</v>
      </c>
      <c r="C15" s="3"/>
      <c r="D15" s="3"/>
    </row>
    <row r="16">
      <c r="B16" s="4"/>
      <c r="C16" t="s" s="4">
        <v>5</v>
      </c>
      <c r="D16" t="s" s="5">
        <v>126</v>
      </c>
    </row>
  </sheetData>
  <mergeCells count="1">
    <mergeCell ref="B3:D3"/>
  </mergeCells>
  <hyperlinks>
    <hyperlink ref="D10" location="'Clinical Data Dictionary'!R1C1" tooltip="" display="Clinical Data Dictionary"/>
    <hyperlink ref="D12" location="'TCIA Patient Clinical Subset'!R1C1" tooltip="" display="TCIA Patient Clinical Subset"/>
    <hyperlink ref="D14" location="'Outcome Data Dictionary'!R1C1" tooltip="" display="Outcome Data Dictionary"/>
    <hyperlink ref="D16" location="'TCIA Outcomes Subset'!R1C1" tooltip="" display="TCIA Outcomes Subset"/>
  </hyperlinks>
</worksheet>
</file>

<file path=xl/worksheets/sheet2.xml><?xml version="1.0" encoding="utf-8"?>
<worksheet xmlns:r="http://schemas.openxmlformats.org/officeDocument/2006/relationships" xmlns="http://schemas.openxmlformats.org/spreadsheetml/2006/main">
  <dimension ref="A1:E70"/>
  <sheetViews>
    <sheetView workbookViewId="0" showGridLines="0" defaultGridColor="1"/>
  </sheetViews>
  <sheetFormatPr defaultColWidth="10.8333" defaultRowHeight="12" customHeight="1" outlineLevelRow="0" outlineLevelCol="0"/>
  <cols>
    <col min="1" max="1" width="3.67188" style="6" customWidth="1"/>
    <col min="2" max="2" width="16.3516" style="6" customWidth="1"/>
    <col min="3" max="3" width="40.5" style="6" customWidth="1"/>
    <col min="4" max="4" width="13" style="6" customWidth="1"/>
    <col min="5" max="5" width="10.8516" style="6" customWidth="1"/>
    <col min="6" max="16384" width="10.8516" style="6" customWidth="1"/>
  </cols>
  <sheetData>
    <row r="1" ht="36" customHeight="1">
      <c r="A1" s="7"/>
      <c r="B1" t="s" s="8">
        <v>6</v>
      </c>
      <c r="C1" t="s" s="8">
        <v>7</v>
      </c>
      <c r="D1" s="7"/>
      <c r="E1" s="7"/>
    </row>
    <row r="2" ht="15" customHeight="1">
      <c r="A2" s="7"/>
      <c r="B2" t="s" s="9">
        <v>8</v>
      </c>
      <c r="C2" s="7"/>
      <c r="D2" s="7"/>
      <c r="E2" s="7"/>
    </row>
    <row r="3" ht="15" customHeight="1">
      <c r="A3" s="7"/>
      <c r="B3" s="10"/>
      <c r="C3" s="7"/>
      <c r="D3" s="7"/>
      <c r="E3" s="7"/>
    </row>
    <row r="4" ht="15" customHeight="1">
      <c r="A4" s="7"/>
      <c r="B4" t="s" s="9">
        <v>9</v>
      </c>
      <c r="C4" s="7"/>
      <c r="D4" s="7"/>
      <c r="E4" s="7"/>
    </row>
    <row r="5" ht="15" customHeight="1">
      <c r="A5" s="7"/>
      <c r="B5" s="10"/>
      <c r="C5" s="7"/>
      <c r="D5" s="7"/>
      <c r="E5" s="7"/>
    </row>
    <row r="6" ht="15" customHeight="1">
      <c r="A6" s="7"/>
      <c r="B6" t="s" s="9">
        <v>10</v>
      </c>
      <c r="C6" s="7"/>
      <c r="D6" s="7"/>
      <c r="E6" s="7"/>
    </row>
    <row r="7" ht="60" customHeight="1">
      <c r="A7" s="7"/>
      <c r="B7" t="s" s="9">
        <v>11</v>
      </c>
      <c r="C7" t="s" s="11">
        <v>12</v>
      </c>
      <c r="D7" s="7"/>
      <c r="E7" s="7"/>
    </row>
    <row r="8" ht="15" customHeight="1">
      <c r="A8" s="7"/>
      <c r="B8" s="10"/>
      <c r="C8" s="7"/>
      <c r="D8" s="7"/>
      <c r="E8" s="7"/>
    </row>
    <row r="9" ht="16" customHeight="1">
      <c r="A9" s="7"/>
      <c r="B9" s="12"/>
      <c r="C9" s="13"/>
      <c r="D9" s="13"/>
      <c r="E9" s="7"/>
    </row>
    <row r="10" ht="16" customHeight="1">
      <c r="A10" s="14"/>
      <c r="B10" t="s" s="15">
        <v>13</v>
      </c>
      <c r="C10" t="s" s="15">
        <v>14</v>
      </c>
      <c r="D10" t="s" s="15">
        <v>15</v>
      </c>
      <c r="E10" s="16"/>
    </row>
    <row r="11" ht="74" customHeight="1">
      <c r="A11" s="14"/>
      <c r="B11" t="s" s="17">
        <v>16</v>
      </c>
      <c r="C11" t="s" s="17">
        <v>17</v>
      </c>
      <c r="D11" t="s" s="17">
        <v>18</v>
      </c>
      <c r="E11" s="16"/>
    </row>
    <row r="12" ht="16" customHeight="1">
      <c r="A12" s="14"/>
      <c r="B12" s="18"/>
      <c r="C12" s="18"/>
      <c r="D12" t="s" s="19">
        <v>19</v>
      </c>
      <c r="E12" s="16"/>
    </row>
    <row r="13" ht="74" customHeight="1">
      <c r="A13" s="14"/>
      <c r="B13" t="s" s="17">
        <v>20</v>
      </c>
      <c r="C13" t="s" s="17">
        <v>21</v>
      </c>
      <c r="D13" t="s" s="17">
        <v>22</v>
      </c>
      <c r="E13" s="16"/>
    </row>
    <row r="14" ht="16" customHeight="1">
      <c r="A14" s="14"/>
      <c r="B14" s="18"/>
      <c r="C14" s="18"/>
      <c r="D14" t="s" s="19">
        <v>23</v>
      </c>
      <c r="E14" s="16"/>
    </row>
    <row r="15" ht="16" customHeight="1">
      <c r="A15" s="14"/>
      <c r="B15" t="s" s="20">
        <v>24</v>
      </c>
      <c r="C15" s="21"/>
      <c r="D15" s="22"/>
      <c r="E15" s="16"/>
    </row>
    <row r="16" ht="16" customHeight="1">
      <c r="A16" s="14"/>
      <c r="B16" t="s" s="23">
        <v>25</v>
      </c>
      <c r="C16" t="s" s="23">
        <v>26</v>
      </c>
      <c r="D16" t="s" s="23">
        <v>27</v>
      </c>
      <c r="E16" s="16"/>
    </row>
    <row r="17" ht="15" customHeight="1">
      <c r="A17" s="14"/>
      <c r="B17" t="s" s="17">
        <v>28</v>
      </c>
      <c r="C17" t="s" s="17">
        <v>29</v>
      </c>
      <c r="D17" t="s" s="17">
        <v>27</v>
      </c>
      <c r="E17" s="16"/>
    </row>
    <row r="18" ht="15" customHeight="1">
      <c r="A18" s="14"/>
      <c r="B18" s="24"/>
      <c r="C18" t="s" s="25">
        <v>30</v>
      </c>
      <c r="D18" s="24"/>
      <c r="E18" s="16"/>
    </row>
    <row r="19" ht="15" customHeight="1">
      <c r="A19" s="14"/>
      <c r="B19" s="24"/>
      <c r="C19" t="s" s="25">
        <v>31</v>
      </c>
      <c r="D19" s="24"/>
      <c r="E19" s="16"/>
    </row>
    <row r="20" ht="15" customHeight="1">
      <c r="A20" s="14"/>
      <c r="B20" s="24"/>
      <c r="C20" t="s" s="25">
        <v>32</v>
      </c>
      <c r="D20" s="24"/>
      <c r="E20" s="16"/>
    </row>
    <row r="21" ht="15" customHeight="1">
      <c r="A21" s="14"/>
      <c r="B21" s="24"/>
      <c r="C21" t="s" s="25">
        <v>33</v>
      </c>
      <c r="D21" s="24"/>
      <c r="E21" s="16"/>
    </row>
    <row r="22" ht="15" customHeight="1">
      <c r="A22" s="14"/>
      <c r="B22" s="24"/>
      <c r="C22" t="s" s="25">
        <v>34</v>
      </c>
      <c r="D22" s="24"/>
      <c r="E22" s="16"/>
    </row>
    <row r="23" ht="16" customHeight="1">
      <c r="A23" s="14"/>
      <c r="B23" s="18"/>
      <c r="C23" t="s" s="19">
        <v>35</v>
      </c>
      <c r="D23" s="18"/>
      <c r="E23" s="16"/>
    </row>
    <row r="24" ht="16" customHeight="1">
      <c r="A24" s="7"/>
      <c r="B24" s="26"/>
      <c r="C24" s="27"/>
      <c r="D24" s="27"/>
      <c r="E24" s="7"/>
    </row>
    <row r="25" ht="30" customHeight="1">
      <c r="A25" s="14"/>
      <c r="B25" t="s" s="20">
        <v>36</v>
      </c>
      <c r="C25" s="22"/>
      <c r="D25" s="28"/>
      <c r="E25" s="16"/>
    </row>
    <row r="26" ht="30" customHeight="1">
      <c r="A26" s="14"/>
      <c r="B26" t="s" s="17">
        <v>37</v>
      </c>
      <c r="C26" t="s" s="17">
        <v>38</v>
      </c>
      <c r="D26" t="s" s="17">
        <v>27</v>
      </c>
      <c r="E26" s="16"/>
    </row>
    <row r="27" ht="15" customHeight="1">
      <c r="A27" s="14"/>
      <c r="B27" s="24"/>
      <c r="C27" t="s" s="25">
        <v>39</v>
      </c>
      <c r="D27" s="24"/>
      <c r="E27" s="16"/>
    </row>
    <row r="28" ht="15" customHeight="1">
      <c r="A28" s="14"/>
      <c r="B28" s="24"/>
      <c r="C28" t="s" s="25">
        <v>40</v>
      </c>
      <c r="D28" s="24"/>
      <c r="E28" s="16"/>
    </row>
    <row r="29" ht="16" customHeight="1">
      <c r="A29" s="14"/>
      <c r="B29" s="18"/>
      <c r="C29" t="s" s="19">
        <v>41</v>
      </c>
      <c r="D29" s="18"/>
      <c r="E29" s="16"/>
    </row>
    <row r="30" ht="30" customHeight="1">
      <c r="A30" s="14"/>
      <c r="B30" t="s" s="17">
        <v>42</v>
      </c>
      <c r="C30" t="s" s="17">
        <v>43</v>
      </c>
      <c r="D30" t="s" s="17">
        <v>27</v>
      </c>
      <c r="E30" s="16"/>
    </row>
    <row r="31" ht="15" customHeight="1">
      <c r="A31" s="14"/>
      <c r="B31" s="24"/>
      <c r="C31" t="s" s="25">
        <v>39</v>
      </c>
      <c r="D31" s="24"/>
      <c r="E31" s="16"/>
    </row>
    <row r="32" ht="15" customHeight="1">
      <c r="A32" s="14"/>
      <c r="B32" s="24"/>
      <c r="C32" t="s" s="25">
        <v>40</v>
      </c>
      <c r="D32" s="24"/>
      <c r="E32" s="16"/>
    </row>
    <row r="33" ht="16" customHeight="1">
      <c r="A33" s="14"/>
      <c r="B33" s="18"/>
      <c r="C33" t="s" s="19">
        <v>41</v>
      </c>
      <c r="D33" s="18"/>
      <c r="E33" s="16"/>
    </row>
    <row r="34" ht="15" customHeight="1">
      <c r="A34" s="14"/>
      <c r="B34" t="s" s="17">
        <v>44</v>
      </c>
      <c r="C34" t="s" s="17">
        <v>45</v>
      </c>
      <c r="D34" t="s" s="17">
        <v>27</v>
      </c>
      <c r="E34" s="16"/>
    </row>
    <row r="35" ht="15" customHeight="1">
      <c r="A35" s="14"/>
      <c r="B35" s="24"/>
      <c r="C35" t="s" s="25">
        <v>46</v>
      </c>
      <c r="D35" s="24"/>
      <c r="E35" s="16"/>
    </row>
    <row r="36" ht="15" customHeight="1">
      <c r="A36" s="14"/>
      <c r="B36" s="24"/>
      <c r="C36" t="s" s="25">
        <v>47</v>
      </c>
      <c r="D36" s="24"/>
      <c r="E36" s="16"/>
    </row>
    <row r="37" ht="31" customHeight="1">
      <c r="A37" s="14"/>
      <c r="B37" s="18"/>
      <c r="C37" t="s" s="19">
        <v>48</v>
      </c>
      <c r="D37" s="18"/>
      <c r="E37" s="16"/>
    </row>
    <row r="38" ht="30" customHeight="1">
      <c r="A38" s="14"/>
      <c r="B38" t="s" s="17">
        <v>49</v>
      </c>
      <c r="C38" t="s" s="17">
        <v>50</v>
      </c>
      <c r="D38" t="s" s="17">
        <v>27</v>
      </c>
      <c r="E38" s="16"/>
    </row>
    <row r="39" ht="15" customHeight="1">
      <c r="A39" s="14"/>
      <c r="B39" s="24"/>
      <c r="C39" t="s" s="25">
        <v>39</v>
      </c>
      <c r="D39" s="24"/>
      <c r="E39" s="16"/>
    </row>
    <row r="40" ht="15" customHeight="1">
      <c r="A40" s="14"/>
      <c r="B40" s="24"/>
      <c r="C40" t="s" s="25">
        <v>40</v>
      </c>
      <c r="D40" s="24"/>
      <c r="E40" s="16"/>
    </row>
    <row r="41" ht="16" customHeight="1">
      <c r="A41" s="14"/>
      <c r="B41" s="18"/>
      <c r="C41" t="s" s="19">
        <v>51</v>
      </c>
      <c r="D41" s="18"/>
      <c r="E41" s="16"/>
    </row>
    <row r="42" ht="15" customHeight="1">
      <c r="A42" s="14"/>
      <c r="B42" t="s" s="17">
        <v>52</v>
      </c>
      <c r="C42" t="s" s="17">
        <v>53</v>
      </c>
      <c r="D42" t="s" s="17">
        <v>27</v>
      </c>
      <c r="E42" s="16"/>
    </row>
    <row r="43" ht="15" customHeight="1">
      <c r="A43" s="14"/>
      <c r="B43" s="24"/>
      <c r="C43" t="s" s="25">
        <v>54</v>
      </c>
      <c r="D43" s="24"/>
      <c r="E43" s="16"/>
    </row>
    <row r="44" ht="15" customHeight="1">
      <c r="A44" s="14"/>
      <c r="B44" s="24"/>
      <c r="C44" t="s" s="25">
        <v>55</v>
      </c>
      <c r="D44" s="24"/>
      <c r="E44" s="16"/>
    </row>
    <row r="45" ht="16" customHeight="1">
      <c r="A45" s="14"/>
      <c r="B45" s="18"/>
      <c r="C45" t="s" s="19">
        <v>56</v>
      </c>
      <c r="D45" s="18"/>
      <c r="E45" s="16"/>
    </row>
    <row r="46" ht="15" customHeight="1">
      <c r="A46" s="14"/>
      <c r="B46" t="s" s="17">
        <v>57</v>
      </c>
      <c r="C46" t="s" s="17">
        <v>58</v>
      </c>
      <c r="D46" t="s" s="17">
        <v>59</v>
      </c>
      <c r="E46" s="16"/>
    </row>
    <row r="47" ht="15" customHeight="1">
      <c r="A47" s="14"/>
      <c r="B47" s="24"/>
      <c r="C47" t="s" s="25">
        <v>60</v>
      </c>
      <c r="D47" s="24"/>
      <c r="E47" s="16"/>
    </row>
    <row r="48" ht="15" customHeight="1">
      <c r="A48" s="14"/>
      <c r="B48" s="24"/>
      <c r="C48" t="s" s="25">
        <v>61</v>
      </c>
      <c r="D48" s="24"/>
      <c r="E48" s="16"/>
    </row>
    <row r="49" ht="16" customHeight="1">
      <c r="A49" s="14"/>
      <c r="B49" s="18"/>
      <c r="C49" t="s" s="19">
        <v>62</v>
      </c>
      <c r="D49" s="18"/>
      <c r="E49" s="16"/>
    </row>
    <row r="50" ht="30" customHeight="1">
      <c r="A50" s="14"/>
      <c r="B50" t="s" s="17">
        <v>63</v>
      </c>
      <c r="C50" t="s" s="17">
        <v>64</v>
      </c>
      <c r="D50" t="s" s="17">
        <v>27</v>
      </c>
      <c r="E50" s="16"/>
    </row>
    <row r="51" ht="15" customHeight="1">
      <c r="A51" s="14"/>
      <c r="B51" s="24"/>
      <c r="C51" t="s" s="25">
        <v>65</v>
      </c>
      <c r="D51" s="24"/>
      <c r="E51" s="16"/>
    </row>
    <row r="52" ht="16" customHeight="1">
      <c r="A52" s="14"/>
      <c r="B52" s="18"/>
      <c r="C52" t="s" s="19">
        <v>66</v>
      </c>
      <c r="D52" s="18"/>
      <c r="E52" s="16"/>
    </row>
    <row r="53" ht="15" customHeight="1">
      <c r="A53" s="14"/>
      <c r="B53" t="s" s="17">
        <v>67</v>
      </c>
      <c r="C53" t="s" s="17">
        <v>68</v>
      </c>
      <c r="D53" t="s" s="17">
        <v>27</v>
      </c>
      <c r="E53" s="16"/>
    </row>
    <row r="54" ht="15" customHeight="1">
      <c r="A54" s="14"/>
      <c r="B54" s="24"/>
      <c r="C54" t="s" s="25">
        <v>69</v>
      </c>
      <c r="D54" s="24"/>
      <c r="E54" s="16"/>
    </row>
    <row r="55" ht="16" customHeight="1">
      <c r="A55" s="14"/>
      <c r="B55" s="18"/>
      <c r="C55" t="s" s="19">
        <v>70</v>
      </c>
      <c r="D55" s="18"/>
      <c r="E55" s="16"/>
    </row>
    <row r="56" ht="14" customHeight="1">
      <c r="A56" s="7"/>
      <c r="B56" s="29"/>
      <c r="C56" s="27"/>
      <c r="D56" s="27"/>
      <c r="E56" s="7"/>
    </row>
    <row r="57" ht="16" customHeight="1">
      <c r="A57" s="14"/>
      <c r="B57" t="s" s="20">
        <v>71</v>
      </c>
      <c r="C57" s="22"/>
      <c r="D57" s="28"/>
      <c r="E57" s="16"/>
    </row>
    <row r="58" ht="30" customHeight="1">
      <c r="A58" s="14"/>
      <c r="B58" t="s" s="17">
        <v>72</v>
      </c>
      <c r="C58" t="s" s="17">
        <v>73</v>
      </c>
      <c r="D58" t="s" s="17">
        <v>27</v>
      </c>
      <c r="E58" s="16"/>
    </row>
    <row r="59" ht="15" customHeight="1">
      <c r="A59" s="14"/>
      <c r="B59" t="s" s="25">
        <v>74</v>
      </c>
      <c r="C59" t="s" s="25">
        <v>75</v>
      </c>
      <c r="D59" s="24"/>
      <c r="E59" s="16"/>
    </row>
    <row r="60" ht="15" customHeight="1">
      <c r="A60" s="14"/>
      <c r="B60" t="s" s="25">
        <v>76</v>
      </c>
      <c r="C60" t="s" s="25">
        <v>77</v>
      </c>
      <c r="D60" s="24"/>
      <c r="E60" s="16"/>
    </row>
    <row r="61" ht="15" customHeight="1">
      <c r="A61" s="14"/>
      <c r="B61" t="s" s="25">
        <v>78</v>
      </c>
      <c r="C61" t="s" s="25">
        <v>79</v>
      </c>
      <c r="D61" s="24"/>
      <c r="E61" s="16"/>
    </row>
    <row r="62" ht="15" customHeight="1">
      <c r="A62" s="14"/>
      <c r="B62" t="s" s="25">
        <v>80</v>
      </c>
      <c r="C62" t="s" s="25">
        <v>81</v>
      </c>
      <c r="D62" s="24"/>
      <c r="E62" s="16"/>
    </row>
    <row r="63" ht="15" customHeight="1">
      <c r="A63" s="14"/>
      <c r="B63" s="24"/>
      <c r="C63" t="s" s="25">
        <v>82</v>
      </c>
      <c r="D63" s="24"/>
      <c r="E63" s="16"/>
    </row>
    <row r="64" ht="16" customHeight="1">
      <c r="A64" s="14"/>
      <c r="B64" s="18"/>
      <c r="C64" s="30"/>
      <c r="D64" s="18"/>
      <c r="E64" s="16"/>
    </row>
    <row r="65" ht="14.15" customHeight="1">
      <c r="A65" s="7"/>
      <c r="B65" s="31"/>
      <c r="C65" s="31"/>
      <c r="D65" s="31"/>
      <c r="E65" s="7"/>
    </row>
    <row r="66" ht="15" customHeight="1">
      <c r="A66" s="7"/>
      <c r="B66" t="s" s="9">
        <v>83</v>
      </c>
      <c r="C66" s="7"/>
      <c r="D66" s="7"/>
      <c r="E66" s="7"/>
    </row>
    <row r="67" ht="15" customHeight="1">
      <c r="A67" s="7"/>
      <c r="B67" t="s" s="9">
        <v>84</v>
      </c>
      <c r="C67" s="7"/>
      <c r="D67" s="7"/>
      <c r="E67" s="7"/>
    </row>
    <row r="68" ht="15" customHeight="1">
      <c r="A68" s="7"/>
      <c r="B68" t="s" s="9">
        <v>85</v>
      </c>
      <c r="C68" s="7"/>
      <c r="D68" s="7"/>
      <c r="E68" s="7"/>
    </row>
    <row r="69" ht="15" customHeight="1">
      <c r="A69" s="7"/>
      <c r="B69" t="s" s="9">
        <v>86</v>
      </c>
      <c r="C69" s="7"/>
      <c r="D69" s="7"/>
      <c r="E69" s="7"/>
    </row>
    <row r="70" ht="15" customHeight="1">
      <c r="A70" s="7"/>
      <c r="B70" t="s" s="9">
        <v>87</v>
      </c>
      <c r="C70" s="7"/>
      <c r="D70" s="7"/>
      <c r="E70" s="7"/>
    </row>
  </sheetData>
  <mergeCells count="26">
    <mergeCell ref="B50:B52"/>
    <mergeCell ref="D50:D52"/>
    <mergeCell ref="B53:B55"/>
    <mergeCell ref="D53:D55"/>
    <mergeCell ref="B57:C57"/>
    <mergeCell ref="D58:D64"/>
    <mergeCell ref="B38:B41"/>
    <mergeCell ref="D38:D41"/>
    <mergeCell ref="B42:B45"/>
    <mergeCell ref="D42:D45"/>
    <mergeCell ref="B46:B49"/>
    <mergeCell ref="D46:D49"/>
    <mergeCell ref="B25:C25"/>
    <mergeCell ref="B26:B29"/>
    <mergeCell ref="D26:D29"/>
    <mergeCell ref="B30:B33"/>
    <mergeCell ref="D30:D33"/>
    <mergeCell ref="B34:B37"/>
    <mergeCell ref="D34:D37"/>
    <mergeCell ref="B11:B12"/>
    <mergeCell ref="C11:C12"/>
    <mergeCell ref="B13:B14"/>
    <mergeCell ref="C13:C14"/>
    <mergeCell ref="B15:D15"/>
    <mergeCell ref="B17:B23"/>
    <mergeCell ref="D17:D23"/>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P223"/>
  <sheetViews>
    <sheetView workbookViewId="0" showGridLines="0" defaultGridColor="1"/>
  </sheetViews>
  <sheetFormatPr defaultColWidth="8.16667" defaultRowHeight="12" customHeight="1" outlineLevelRow="0" outlineLevelCol="0"/>
  <cols>
    <col min="1" max="1" width="11.3516" style="32" customWidth="1"/>
    <col min="2" max="2" width="11.8516" style="32" customWidth="1"/>
    <col min="3" max="3" width="6.17188" style="32" customWidth="1"/>
    <col min="4" max="4" width="9.17188" style="32" customWidth="1"/>
    <col min="5" max="5" width="8.67188" style="32" customWidth="1"/>
    <col min="6" max="6" width="9.67188" style="32" customWidth="1"/>
    <col min="7" max="7" width="9.5" style="32" customWidth="1"/>
    <col min="8" max="8" width="12.8516" style="32" customWidth="1"/>
    <col min="9" max="10" width="19.3516" style="32" customWidth="1"/>
    <col min="11" max="11" width="9.5" style="32" customWidth="1"/>
    <col min="12" max="12" width="9.85156" style="32" customWidth="1"/>
    <col min="13" max="16" width="8.17188" style="32" customWidth="1"/>
    <col min="17" max="16384" width="8.17188" style="32" customWidth="1"/>
  </cols>
  <sheetData>
    <row r="1" ht="24" customHeight="1">
      <c r="A1" t="s" s="33">
        <v>16</v>
      </c>
      <c r="B1" t="s" s="33">
        <v>20</v>
      </c>
      <c r="C1" t="s" s="33">
        <v>89</v>
      </c>
      <c r="D1" t="s" s="33">
        <v>28</v>
      </c>
      <c r="E1" t="s" s="33">
        <v>37</v>
      </c>
      <c r="F1" t="s" s="33">
        <v>42</v>
      </c>
      <c r="G1" t="s" s="33">
        <v>44</v>
      </c>
      <c r="H1" t="s" s="33">
        <v>90</v>
      </c>
      <c r="I1" t="s" s="33">
        <v>52</v>
      </c>
      <c r="J1" t="s" s="33">
        <v>57</v>
      </c>
      <c r="K1" t="s" s="33">
        <v>63</v>
      </c>
      <c r="L1" t="s" s="33">
        <v>67</v>
      </c>
      <c r="M1" t="s" s="33">
        <v>91</v>
      </c>
      <c r="N1" t="s" s="33">
        <v>92</v>
      </c>
      <c r="O1" t="s" s="33">
        <v>93</v>
      </c>
      <c r="P1" t="s" s="33">
        <v>94</v>
      </c>
    </row>
    <row r="2" ht="13.65" customHeight="1">
      <c r="A2" s="34">
        <v>1001</v>
      </c>
      <c r="B2" s="35">
        <v>40059</v>
      </c>
      <c r="C2" s="36">
        <v>38.73</v>
      </c>
      <c r="D2" s="37">
        <v>1</v>
      </c>
      <c r="E2" s="37">
        <v>1</v>
      </c>
      <c r="F2" s="37">
        <v>0</v>
      </c>
      <c r="G2" s="37">
        <v>1</v>
      </c>
      <c r="H2" s="34">
        <v>0</v>
      </c>
      <c r="I2" s="34" cm="1">
        <f t="array" ref="I2">IF(ISBLANK(H2),"",IF(H2,2,IF(G2,1,3)))</f>
        <v>1</v>
      </c>
      <c r="J2" t="str" s="7" cm="1">
        <f t="array" ref="J2">IF(ISBLANK(H2),"",IF(H2,"HER2pos",IF(G2,"HRposHER2neg","TripleNeg")))</f>
        <v>HRposHER2neg</v>
      </c>
      <c r="K2" s="37">
        <v>0</v>
      </c>
      <c r="L2" s="37">
        <v>1</v>
      </c>
      <c r="M2" s="34">
        <v>88</v>
      </c>
      <c r="N2" s="34">
        <v>78</v>
      </c>
      <c r="O2" s="34">
        <v>30</v>
      </c>
      <c r="P2" s="34">
        <v>14</v>
      </c>
    </row>
    <row r="3" ht="13.65" customHeight="1">
      <c r="A3" s="34">
        <v>1002</v>
      </c>
      <c r="B3" s="35">
        <v>40059</v>
      </c>
      <c r="C3" s="36">
        <v>37.79</v>
      </c>
      <c r="D3" s="37">
        <v>1</v>
      </c>
      <c r="E3" s="37">
        <v>1</v>
      </c>
      <c r="F3" s="37">
        <v>1</v>
      </c>
      <c r="G3" s="37">
        <v>1</v>
      </c>
      <c r="H3" s="34">
        <v>0</v>
      </c>
      <c r="I3" s="34" cm="1">
        <f t="array" ref="I3">IF(ISBLANK(H3),"",IF(H3,2,IF(G3,1,3)))</f>
        <v>1</v>
      </c>
      <c r="J3" t="str" s="7" cm="1">
        <f t="array" ref="J3">IF(ISBLANK(H3),"",IF(H3,"HER2pos",IF(G3,"HRposHER2neg","TripleNeg")))</f>
        <v>HRposHER2neg</v>
      </c>
      <c r="K3" s="37">
        <v>0</v>
      </c>
      <c r="L3" s="37">
        <v>2</v>
      </c>
      <c r="M3" s="34">
        <v>29</v>
      </c>
      <c r="N3" s="34">
        <v>26</v>
      </c>
      <c r="O3" s="34">
        <v>66</v>
      </c>
      <c r="P3" s="34">
        <v>16</v>
      </c>
    </row>
    <row r="4" ht="13.65" customHeight="1">
      <c r="A4" s="34">
        <v>1003</v>
      </c>
      <c r="B4" s="35">
        <v>40059</v>
      </c>
      <c r="C4" s="36">
        <v>49.83</v>
      </c>
      <c r="D4" s="37">
        <v>1</v>
      </c>
      <c r="E4" s="37">
        <v>1</v>
      </c>
      <c r="F4" s="37">
        <v>1</v>
      </c>
      <c r="G4" s="37">
        <v>1</v>
      </c>
      <c r="H4" s="34">
        <v>0</v>
      </c>
      <c r="I4" s="34" cm="1">
        <f t="array" ref="I4">IF(ISBLANK(H4),"",IF(H4,2,IF(G4,1,3)))</f>
        <v>1</v>
      </c>
      <c r="J4" t="str" s="7" cm="1">
        <f t="array" ref="J4">IF(ISBLANK(H4),"",IF(H4,"HER2pos",IF(G4,"HRposHER2neg","TripleNeg")))</f>
        <v>HRposHER2neg</v>
      </c>
      <c r="K4" s="37">
        <v>0</v>
      </c>
      <c r="L4" s="37">
        <v>1</v>
      </c>
      <c r="M4" s="34">
        <v>50</v>
      </c>
      <c r="N4" s="34">
        <v>64</v>
      </c>
      <c r="O4" s="34">
        <v>54</v>
      </c>
      <c r="P4" s="34">
        <v>46</v>
      </c>
    </row>
    <row r="5" ht="13.65" customHeight="1">
      <c r="A5" s="34">
        <v>1004</v>
      </c>
      <c r="B5" s="35">
        <v>40059</v>
      </c>
      <c r="C5" s="36">
        <v>48.28</v>
      </c>
      <c r="D5" s="37">
        <v>1</v>
      </c>
      <c r="E5" s="37">
        <v>0</v>
      </c>
      <c r="F5" s="37">
        <v>0</v>
      </c>
      <c r="G5" s="37">
        <v>0</v>
      </c>
      <c r="H5" s="34">
        <v>0</v>
      </c>
      <c r="I5" s="34" cm="1">
        <f t="array" ref="I5">IF(ISBLANK(H5),"",IF(H5,2,IF(G5,1,3)))</f>
        <v>3</v>
      </c>
      <c r="J5" t="str" s="7" cm="1">
        <f t="array" ref="J5">IF(ISBLANK(H5),"",IF(H5,"HER2pos",IF(G5,"HRposHER2neg","TripleNeg")))</f>
        <v>TripleNeg</v>
      </c>
      <c r="K5" s="37">
        <v>0</v>
      </c>
      <c r="L5" s="37">
        <v>1</v>
      </c>
      <c r="M5" s="34">
        <v>91</v>
      </c>
      <c r="N5" s="34">
        <v>90</v>
      </c>
      <c r="O5" s="34">
        <v>99</v>
      </c>
      <c r="P5" s="34">
        <v>43</v>
      </c>
    </row>
    <row r="6" ht="13.65" customHeight="1">
      <c r="A6" s="34">
        <v>1005</v>
      </c>
      <c r="B6" s="35">
        <v>40059</v>
      </c>
      <c r="C6" s="36">
        <v>45.8</v>
      </c>
      <c r="D6" s="37">
        <v>1</v>
      </c>
      <c r="E6" s="37">
        <v>1</v>
      </c>
      <c r="F6" s="37">
        <v>1</v>
      </c>
      <c r="G6" s="37">
        <v>1</v>
      </c>
      <c r="H6" s="34">
        <v>0</v>
      </c>
      <c r="I6" s="34" cm="1">
        <f t="array" ref="I6">IF(ISBLANK(H6),"",IF(H6,2,IF(G6,1,3)))</f>
        <v>1</v>
      </c>
      <c r="J6" t="str" s="7" cm="1">
        <f t="array" ref="J6">IF(ISBLANK(H6),"",IF(H6,"HER2pos",IF(G6,"HRposHER2neg","TripleNeg")))</f>
        <v>HRposHER2neg</v>
      </c>
      <c r="K6" s="37">
        <v>0</v>
      </c>
      <c r="L6" s="37">
        <v>1</v>
      </c>
      <c r="M6" s="34">
        <v>98</v>
      </c>
      <c r="N6" s="34">
        <v>109</v>
      </c>
      <c r="O6" s="34">
        <v>60</v>
      </c>
      <c r="P6" s="34">
        <v>42</v>
      </c>
    </row>
    <row r="7" ht="13.65" customHeight="1">
      <c r="A7" s="34">
        <v>1007</v>
      </c>
      <c r="B7" s="35">
        <v>40059</v>
      </c>
      <c r="C7" s="36">
        <v>46.38</v>
      </c>
      <c r="D7" s="37">
        <v>1</v>
      </c>
      <c r="E7" s="37">
        <v>1</v>
      </c>
      <c r="F7" s="37">
        <v>1</v>
      </c>
      <c r="G7" s="37">
        <v>1</v>
      </c>
      <c r="H7" s="34">
        <v>0</v>
      </c>
      <c r="I7" s="34" cm="1">
        <f t="array" ref="I7">IF(ISBLANK(H7),"",IF(H7,2,IF(G7,1,3)))</f>
        <v>1</v>
      </c>
      <c r="J7" t="str" s="7" cm="1">
        <f t="array" ref="J7">IF(ISBLANK(H7),"",IF(H7,"HER2pos",IF(G7,"HRposHER2neg","TripleNeg")))</f>
        <v>HRposHER2neg</v>
      </c>
      <c r="K7" s="37">
        <v>0</v>
      </c>
      <c r="L7" s="37">
        <v>1</v>
      </c>
      <c r="M7" s="34">
        <v>100</v>
      </c>
      <c r="N7" s="34">
        <v>100</v>
      </c>
      <c r="O7" s="7"/>
      <c r="P7" s="34">
        <v>54</v>
      </c>
    </row>
    <row r="8" ht="13.65" customHeight="1">
      <c r="A8" s="34">
        <v>1008</v>
      </c>
      <c r="B8" s="35">
        <v>40059</v>
      </c>
      <c r="C8" s="36">
        <v>64.51000000000001</v>
      </c>
      <c r="D8" s="37">
        <v>1</v>
      </c>
      <c r="E8" s="37">
        <v>1</v>
      </c>
      <c r="F8" s="37">
        <v>1</v>
      </c>
      <c r="G8" s="37">
        <v>1</v>
      </c>
      <c r="H8" s="34">
        <v>0</v>
      </c>
      <c r="I8" s="34" cm="1">
        <f t="array" ref="I8">IF(ISBLANK(H8),"",IF(H8,2,IF(G8,1,3)))</f>
        <v>1</v>
      </c>
      <c r="J8" t="str" s="7" cm="1">
        <f t="array" ref="J8">IF(ISBLANK(H8),"",IF(H8,"HER2pos",IF(G8,"HRposHER2neg","TripleNeg")))</f>
        <v>HRposHER2neg</v>
      </c>
      <c r="K8" s="37">
        <v>1</v>
      </c>
      <c r="L8" s="37">
        <v>2</v>
      </c>
      <c r="M8" s="34">
        <v>45</v>
      </c>
      <c r="N8" s="34">
        <v>49</v>
      </c>
      <c r="O8" s="34">
        <v>47</v>
      </c>
      <c r="P8" s="34">
        <v>32</v>
      </c>
    </row>
    <row r="9" ht="13.65" customHeight="1">
      <c r="A9" s="34">
        <v>1009</v>
      </c>
      <c r="B9" s="35">
        <v>40059</v>
      </c>
      <c r="C9" s="36">
        <v>40.66</v>
      </c>
      <c r="D9" s="37">
        <v>4</v>
      </c>
      <c r="E9" s="37">
        <v>0</v>
      </c>
      <c r="F9" s="37">
        <v>0</v>
      </c>
      <c r="G9" s="37">
        <v>0</v>
      </c>
      <c r="H9" s="34">
        <v>0</v>
      </c>
      <c r="I9" s="34" cm="1">
        <f t="array" ref="I9">IF(ISBLANK(H9),"",IF(H9,2,IF(G9,1,3)))</f>
        <v>3</v>
      </c>
      <c r="J9" t="str" s="7" cm="1">
        <f t="array" ref="J9">IF(ISBLANK(H9),"",IF(H9,"HER2pos",IF(G9,"HRposHER2neg","TripleNeg")))</f>
        <v>TripleNeg</v>
      </c>
      <c r="K9" s="37">
        <v>0</v>
      </c>
      <c r="L9" s="37">
        <v>1</v>
      </c>
      <c r="M9" s="34">
        <v>75</v>
      </c>
      <c r="N9" s="34">
        <v>66</v>
      </c>
      <c r="O9" s="34">
        <v>57</v>
      </c>
      <c r="P9" s="34">
        <v>7</v>
      </c>
    </row>
    <row r="10" ht="13.65" customHeight="1">
      <c r="A10" s="34">
        <v>1010</v>
      </c>
      <c r="B10" s="35">
        <v>40059</v>
      </c>
      <c r="C10" s="36">
        <v>41.53</v>
      </c>
      <c r="D10" s="37">
        <v>1</v>
      </c>
      <c r="E10" s="37">
        <v>0</v>
      </c>
      <c r="F10" s="37">
        <v>0</v>
      </c>
      <c r="G10" s="37">
        <v>0</v>
      </c>
      <c r="H10" s="34">
        <v>0</v>
      </c>
      <c r="I10" s="34" cm="1">
        <f t="array" ref="I10">IF(ISBLANK(H10),"",IF(H10,2,IF(G10,1,3)))</f>
        <v>3</v>
      </c>
      <c r="J10" t="str" s="7" cm="1">
        <f t="array" ref="J10">IF(ISBLANK(H10),"",IF(H10,"HER2pos",IF(G10,"HRposHER2neg","TripleNeg")))</f>
        <v>TripleNeg</v>
      </c>
      <c r="K10" s="37">
        <v>0</v>
      </c>
      <c r="L10" s="37">
        <v>1</v>
      </c>
      <c r="M10" s="34">
        <v>60</v>
      </c>
      <c r="N10" s="34">
        <v>52</v>
      </c>
      <c r="O10" s="34">
        <v>20</v>
      </c>
      <c r="P10" s="34">
        <v>3</v>
      </c>
    </row>
    <row r="11" ht="13.65" customHeight="1">
      <c r="A11" s="34">
        <v>1011</v>
      </c>
      <c r="B11" s="35">
        <v>40059</v>
      </c>
      <c r="C11" s="36">
        <v>40.82</v>
      </c>
      <c r="D11" s="37">
        <v>4</v>
      </c>
      <c r="E11" s="37">
        <v>0</v>
      </c>
      <c r="F11" s="37">
        <v>0</v>
      </c>
      <c r="G11" s="37">
        <v>0</v>
      </c>
      <c r="H11" s="34">
        <v>0</v>
      </c>
      <c r="I11" s="34" cm="1">
        <f t="array" ref="I11">IF(ISBLANK(H11),"",IF(H11,2,IF(G11,1,3)))</f>
        <v>3</v>
      </c>
      <c r="J11" t="str" s="7" cm="1">
        <f t="array" ref="J11">IF(ISBLANK(H11),"",IF(H11,"HER2pos",IF(G11,"HRposHER2neg","TripleNeg")))</f>
        <v>TripleNeg</v>
      </c>
      <c r="K11" s="37">
        <v>0</v>
      </c>
      <c r="L11" s="37">
        <v>2</v>
      </c>
      <c r="M11" s="34">
        <v>68</v>
      </c>
      <c r="N11" s="34">
        <v>68</v>
      </c>
      <c r="O11" s="34">
        <v>56</v>
      </c>
      <c r="P11" s="34">
        <v>47</v>
      </c>
    </row>
    <row r="12" ht="13.65" customHeight="1">
      <c r="A12" s="34">
        <v>1012</v>
      </c>
      <c r="B12" s="35">
        <v>40059</v>
      </c>
      <c r="C12" s="36">
        <v>53.78</v>
      </c>
      <c r="D12" s="37">
        <v>3</v>
      </c>
      <c r="E12" s="37">
        <v>1</v>
      </c>
      <c r="F12" s="37">
        <v>1</v>
      </c>
      <c r="G12" s="37">
        <v>1</v>
      </c>
      <c r="H12" s="34">
        <v>0</v>
      </c>
      <c r="I12" s="34" cm="1">
        <f t="array" ref="I12">IF(ISBLANK(H12),"",IF(H12,2,IF(G12,1,3)))</f>
        <v>1</v>
      </c>
      <c r="J12" t="str" s="7" cm="1">
        <f t="array" ref="J12">IF(ISBLANK(H12),"",IF(H12,"HER2pos",IF(G12,"HRposHER2neg","TripleNeg")))</f>
        <v>HRposHER2neg</v>
      </c>
      <c r="K12" s="37">
        <v>0</v>
      </c>
      <c r="L12" s="37">
        <v>1</v>
      </c>
      <c r="M12" s="34">
        <v>78</v>
      </c>
      <c r="N12" s="34">
        <v>84</v>
      </c>
      <c r="O12" s="34">
        <v>56</v>
      </c>
      <c r="P12" s="34">
        <v>57</v>
      </c>
    </row>
    <row r="13" ht="13.65" customHeight="1">
      <c r="A13" s="34">
        <v>1013</v>
      </c>
      <c r="B13" s="35">
        <v>40059</v>
      </c>
      <c r="C13" s="36">
        <v>49.36</v>
      </c>
      <c r="D13" s="37">
        <v>1</v>
      </c>
      <c r="E13" s="37">
        <v>1</v>
      </c>
      <c r="F13" s="37">
        <v>1</v>
      </c>
      <c r="G13" s="37">
        <v>1</v>
      </c>
      <c r="H13" s="34">
        <v>0</v>
      </c>
      <c r="I13" s="34" cm="1">
        <f t="array" ref="I13">IF(ISBLANK(H13),"",IF(H13,2,IF(G13,1,3)))</f>
        <v>1</v>
      </c>
      <c r="J13" t="str" s="7" cm="1">
        <f t="array" ref="J13">IF(ISBLANK(H13),"",IF(H13,"HER2pos",IF(G13,"HRposHER2neg","TripleNeg")))</f>
        <v>HRposHER2neg</v>
      </c>
      <c r="K13" s="37">
        <v>0</v>
      </c>
      <c r="L13" s="37">
        <v>2</v>
      </c>
      <c r="M13" s="34">
        <v>71</v>
      </c>
      <c r="N13" s="34">
        <v>70</v>
      </c>
      <c r="O13" s="34">
        <v>8</v>
      </c>
      <c r="P13" s="34">
        <v>5</v>
      </c>
    </row>
    <row r="14" ht="13.65" customHeight="1">
      <c r="A14" s="34">
        <v>1015</v>
      </c>
      <c r="B14" s="35">
        <v>40059</v>
      </c>
      <c r="C14" s="36">
        <v>42.16</v>
      </c>
      <c r="D14" s="37">
        <v>1</v>
      </c>
      <c r="E14" s="37">
        <v>1</v>
      </c>
      <c r="F14" s="37">
        <v>0</v>
      </c>
      <c r="G14" s="37">
        <v>1</v>
      </c>
      <c r="H14" s="34">
        <v>1</v>
      </c>
      <c r="I14" s="34" cm="1">
        <f t="array" ref="I14">IF(ISBLANK(H14),"",IF(H14,2,IF(G14,1,3)))</f>
        <v>2</v>
      </c>
      <c r="J14" t="str" s="7" cm="1">
        <f t="array" ref="J14">IF(ISBLANK(H14),"",IF(H14,"HER2pos",IF(G14,"HRposHER2neg","TripleNeg")))</f>
        <v>HER2pos</v>
      </c>
      <c r="K14" s="37">
        <v>0</v>
      </c>
      <c r="L14" s="37">
        <v>1</v>
      </c>
      <c r="M14" s="34">
        <v>79</v>
      </c>
      <c r="N14" s="34">
        <v>50</v>
      </c>
      <c r="O14" s="34">
        <v>11</v>
      </c>
      <c r="P14" s="34">
        <v>3</v>
      </c>
    </row>
    <row r="15" ht="13.65" customHeight="1">
      <c r="A15" s="34">
        <v>1016</v>
      </c>
      <c r="B15" s="35">
        <v>40059</v>
      </c>
      <c r="C15" s="36">
        <v>35.52</v>
      </c>
      <c r="D15" s="37">
        <v>1</v>
      </c>
      <c r="E15" s="37">
        <v>1</v>
      </c>
      <c r="F15" s="37">
        <v>1</v>
      </c>
      <c r="G15" s="37">
        <v>1</v>
      </c>
      <c r="H15" s="34">
        <v>0</v>
      </c>
      <c r="I15" s="34" cm="1">
        <f t="array" ref="I15">IF(ISBLANK(H15),"",IF(H15,2,IF(G15,1,3)))</f>
        <v>1</v>
      </c>
      <c r="J15" t="str" s="7" cm="1">
        <f t="array" ref="J15">IF(ISBLANK(H15),"",IF(H15,"HER2pos",IF(G15,"HRposHER2neg","TripleNeg")))</f>
        <v>HRposHER2neg</v>
      </c>
      <c r="K15" s="37">
        <v>0</v>
      </c>
      <c r="L15" s="37">
        <v>1</v>
      </c>
      <c r="M15" s="34">
        <v>73</v>
      </c>
      <c r="N15" s="34">
        <v>60</v>
      </c>
      <c r="O15" s="34">
        <v>57</v>
      </c>
      <c r="P15" s="34">
        <v>36</v>
      </c>
    </row>
    <row r="16" ht="13.65" customHeight="1">
      <c r="A16" s="34">
        <v>1017</v>
      </c>
      <c r="B16" s="35">
        <v>40059</v>
      </c>
      <c r="C16" s="36">
        <v>68.31</v>
      </c>
      <c r="D16" s="37">
        <v>1</v>
      </c>
      <c r="E16" s="37">
        <v>0</v>
      </c>
      <c r="F16" s="37">
        <v>0</v>
      </c>
      <c r="G16" s="37">
        <v>0</v>
      </c>
      <c r="H16" s="34">
        <v>0</v>
      </c>
      <c r="I16" s="34" cm="1">
        <f t="array" ref="I16">IF(ISBLANK(H16),"",IF(H16,2,IF(G16,1,3)))</f>
        <v>3</v>
      </c>
      <c r="J16" t="str" s="7" cm="1">
        <f t="array" ref="J16">IF(ISBLANK(H16),"",IF(H16,"HER2pos",IF(G16,"HRposHER2neg","TripleNeg")))</f>
        <v>TripleNeg</v>
      </c>
      <c r="K16" s="37">
        <v>0</v>
      </c>
      <c r="L16" s="37">
        <v>1</v>
      </c>
      <c r="M16" s="34">
        <v>54</v>
      </c>
      <c r="N16" s="7"/>
      <c r="O16" s="34">
        <v>27</v>
      </c>
      <c r="P16" s="34">
        <v>16</v>
      </c>
    </row>
    <row r="17" ht="13.65" customHeight="1">
      <c r="A17" s="34">
        <v>1018</v>
      </c>
      <c r="B17" s="35">
        <v>40059</v>
      </c>
      <c r="C17" s="36">
        <v>57.44</v>
      </c>
      <c r="D17" s="37">
        <v>1</v>
      </c>
      <c r="E17" s="37">
        <v>1</v>
      </c>
      <c r="F17" s="37">
        <v>1</v>
      </c>
      <c r="G17" s="37">
        <v>1</v>
      </c>
      <c r="H17" s="34">
        <v>0</v>
      </c>
      <c r="I17" s="34" cm="1">
        <f t="array" ref="I17">IF(ISBLANK(H17),"",IF(H17,2,IF(G17,1,3)))</f>
        <v>1</v>
      </c>
      <c r="J17" t="str" s="7" cm="1">
        <f t="array" ref="J17">IF(ISBLANK(H17),"",IF(H17,"HER2pos",IF(G17,"HRposHER2neg","TripleNeg")))</f>
        <v>HRposHER2neg</v>
      </c>
      <c r="K17" s="37">
        <v>0</v>
      </c>
      <c r="L17" s="37">
        <v>2</v>
      </c>
      <c r="M17" s="34">
        <v>50</v>
      </c>
      <c r="N17" s="34">
        <v>37</v>
      </c>
      <c r="O17" s="34">
        <v>33</v>
      </c>
      <c r="P17" s="34">
        <v>26</v>
      </c>
    </row>
    <row r="18" ht="13.65" customHeight="1">
      <c r="A18" s="34">
        <v>1019</v>
      </c>
      <c r="B18" s="35">
        <v>40059</v>
      </c>
      <c r="C18" s="36">
        <v>52.24</v>
      </c>
      <c r="D18" s="37">
        <v>3</v>
      </c>
      <c r="E18" s="37">
        <v>0</v>
      </c>
      <c r="F18" s="37">
        <v>0</v>
      </c>
      <c r="G18" s="37">
        <v>0</v>
      </c>
      <c r="H18" s="34">
        <v>0</v>
      </c>
      <c r="I18" s="34" cm="1">
        <f t="array" ref="I18">IF(ISBLANK(H18),"",IF(H18,2,IF(G18,1,3)))</f>
        <v>3</v>
      </c>
      <c r="J18" t="str" s="7" cm="1">
        <f t="array" ref="J18">IF(ISBLANK(H18),"",IF(H18,"HER2pos",IF(G18,"HRposHER2neg","TripleNeg")))</f>
        <v>TripleNeg</v>
      </c>
      <c r="K18" s="37">
        <v>0</v>
      </c>
      <c r="L18" s="37">
        <v>2</v>
      </c>
      <c r="M18" s="34">
        <v>115</v>
      </c>
      <c r="N18" s="34">
        <v>68</v>
      </c>
      <c r="O18" s="34">
        <v>33</v>
      </c>
      <c r="P18" s="34">
        <v>67</v>
      </c>
    </row>
    <row r="19" ht="13.65" customHeight="1">
      <c r="A19" s="34">
        <v>1021</v>
      </c>
      <c r="B19" s="35">
        <v>40059</v>
      </c>
      <c r="C19" s="36">
        <v>48.43</v>
      </c>
      <c r="D19" s="37">
        <v>1</v>
      </c>
      <c r="E19" s="37">
        <v>1</v>
      </c>
      <c r="F19" s="37">
        <v>1</v>
      </c>
      <c r="G19" s="37">
        <v>1</v>
      </c>
      <c r="H19" s="34">
        <v>1</v>
      </c>
      <c r="I19" s="34" cm="1">
        <f t="array" ref="I19">IF(ISBLANK(H19),"",IF(H19,2,IF(G19,1,3)))</f>
        <v>2</v>
      </c>
      <c r="J19" t="str" s="7" cm="1">
        <f t="array" ref="J19">IF(ISBLANK(H19),"",IF(H19,"HER2pos",IF(G19,"HRposHER2neg","TripleNeg")))</f>
        <v>HER2pos</v>
      </c>
      <c r="K19" s="37">
        <v>0</v>
      </c>
      <c r="L19" s="37">
        <v>1</v>
      </c>
      <c r="M19" s="34">
        <v>63</v>
      </c>
      <c r="N19" s="34">
        <v>55</v>
      </c>
      <c r="O19" s="34">
        <v>0</v>
      </c>
      <c r="P19" s="34">
        <v>0</v>
      </c>
    </row>
    <row r="20" ht="13.65" customHeight="1">
      <c r="A20" s="34">
        <v>1022</v>
      </c>
      <c r="B20" s="35">
        <v>40059</v>
      </c>
      <c r="C20" s="36">
        <v>51.41</v>
      </c>
      <c r="D20" s="37">
        <v>1</v>
      </c>
      <c r="E20" s="37">
        <v>1</v>
      </c>
      <c r="F20" s="37">
        <v>0</v>
      </c>
      <c r="G20" s="37">
        <v>1</v>
      </c>
      <c r="H20" s="34">
        <v>0</v>
      </c>
      <c r="I20" s="34" cm="1">
        <f t="array" ref="I20">IF(ISBLANK(H20),"",IF(H20,2,IF(G20,1,3)))</f>
        <v>1</v>
      </c>
      <c r="J20" t="str" s="7" cm="1">
        <f t="array" ref="J20">IF(ISBLANK(H20),"",IF(H20,"HER2pos",IF(G20,"HRposHER2neg","TripleNeg")))</f>
        <v>HRposHER2neg</v>
      </c>
      <c r="K20" s="37">
        <v>0</v>
      </c>
      <c r="L20" s="37">
        <v>1</v>
      </c>
      <c r="M20" s="34">
        <v>98</v>
      </c>
      <c r="N20" s="34">
        <v>91</v>
      </c>
      <c r="O20" s="34">
        <v>76</v>
      </c>
      <c r="P20" s="34">
        <v>75</v>
      </c>
    </row>
    <row r="21" ht="13.65" customHeight="1">
      <c r="A21" s="34">
        <v>1024</v>
      </c>
      <c r="B21" s="35">
        <v>40059</v>
      </c>
      <c r="C21" s="36">
        <v>52.56</v>
      </c>
      <c r="D21" s="37">
        <v>1</v>
      </c>
      <c r="E21" s="37">
        <v>1</v>
      </c>
      <c r="F21" s="37">
        <v>0</v>
      </c>
      <c r="G21" s="37">
        <v>1</v>
      </c>
      <c r="H21" s="34">
        <v>0</v>
      </c>
      <c r="I21" s="34" cm="1">
        <f t="array" ref="I21">IF(ISBLANK(H21),"",IF(H21,2,IF(G21,1,3)))</f>
        <v>1</v>
      </c>
      <c r="J21" t="str" s="7" cm="1">
        <f t="array" ref="J21">IF(ISBLANK(H21),"",IF(H21,"HER2pos",IF(G21,"HRposHER2neg","TripleNeg")))</f>
        <v>HRposHER2neg</v>
      </c>
      <c r="K21" s="37">
        <v>0</v>
      </c>
      <c r="L21" s="37">
        <v>1</v>
      </c>
      <c r="M21" s="34">
        <v>76</v>
      </c>
      <c r="N21" s="34">
        <v>76</v>
      </c>
      <c r="O21" s="7"/>
      <c r="P21" s="34">
        <v>0</v>
      </c>
    </row>
    <row r="22" ht="13.65" customHeight="1">
      <c r="A22" s="34">
        <v>1025</v>
      </c>
      <c r="B22" s="35">
        <v>40059</v>
      </c>
      <c r="C22" s="36">
        <v>52.35</v>
      </c>
      <c r="D22" s="37">
        <v>1</v>
      </c>
      <c r="E22" s="37">
        <v>1</v>
      </c>
      <c r="F22" s="37">
        <v>1</v>
      </c>
      <c r="G22" s="37">
        <v>1</v>
      </c>
      <c r="H22" s="34">
        <v>0</v>
      </c>
      <c r="I22" s="34" cm="1">
        <f t="array" ref="I22">IF(ISBLANK(H22),"",IF(H22,2,IF(G22,1,3)))</f>
        <v>1</v>
      </c>
      <c r="J22" t="str" s="7" cm="1">
        <f t="array" ref="J22">IF(ISBLANK(H22),"",IF(H22,"HER2pos",IF(G22,"HRposHER2neg","TripleNeg")))</f>
        <v>HRposHER2neg</v>
      </c>
      <c r="K22" s="37">
        <v>0</v>
      </c>
      <c r="L22" s="37">
        <v>1</v>
      </c>
      <c r="M22" s="34">
        <v>47</v>
      </c>
      <c r="N22" s="34">
        <v>45</v>
      </c>
      <c r="O22" s="34">
        <v>42</v>
      </c>
      <c r="P22" s="34">
        <v>42</v>
      </c>
    </row>
    <row r="23" ht="13.65" customHeight="1">
      <c r="A23" s="34">
        <v>1026</v>
      </c>
      <c r="B23" s="35">
        <v>40059</v>
      </c>
      <c r="C23" s="36">
        <v>44.41</v>
      </c>
      <c r="D23" s="37">
        <v>1</v>
      </c>
      <c r="E23" s="37">
        <v>1</v>
      </c>
      <c r="F23" s="37">
        <v>0</v>
      </c>
      <c r="G23" s="37">
        <v>1</v>
      </c>
      <c r="H23" s="34">
        <v>1</v>
      </c>
      <c r="I23" s="34" cm="1">
        <f t="array" ref="I23">IF(ISBLANK(H23),"",IF(H23,2,IF(G23,1,3)))</f>
        <v>2</v>
      </c>
      <c r="J23" t="str" s="7" cm="1">
        <f t="array" ref="J23">IF(ISBLANK(H23),"",IF(H23,"HER2pos",IF(G23,"HRposHER2neg","TripleNeg")))</f>
        <v>HER2pos</v>
      </c>
      <c r="K23" s="37">
        <v>0</v>
      </c>
      <c r="L23" s="37">
        <v>1</v>
      </c>
      <c r="M23" s="34">
        <v>32</v>
      </c>
      <c r="N23" s="34">
        <v>25</v>
      </c>
      <c r="O23" s="34">
        <v>14</v>
      </c>
      <c r="P23" s="34">
        <v>0</v>
      </c>
    </row>
    <row r="24" ht="13.65" customHeight="1">
      <c r="A24" s="34">
        <v>1027</v>
      </c>
      <c r="B24" s="35">
        <v>40059</v>
      </c>
      <c r="C24" s="36">
        <v>38.22</v>
      </c>
      <c r="D24" s="37">
        <v>3</v>
      </c>
      <c r="E24" s="37">
        <v>0</v>
      </c>
      <c r="F24" s="37">
        <v>0</v>
      </c>
      <c r="G24" s="37">
        <v>0</v>
      </c>
      <c r="H24" s="34">
        <v>0</v>
      </c>
      <c r="I24" s="34" cm="1">
        <f t="array" ref="I24">IF(ISBLANK(H24),"",IF(H24,2,IF(G24,1,3)))</f>
        <v>3</v>
      </c>
      <c r="J24" t="str" s="7" cm="1">
        <f t="array" ref="J24">IF(ISBLANK(H24),"",IF(H24,"HER2pos",IF(G24,"HRposHER2neg","TripleNeg")))</f>
        <v>TripleNeg</v>
      </c>
      <c r="K24" s="37">
        <v>0</v>
      </c>
      <c r="L24" s="37">
        <v>1</v>
      </c>
      <c r="M24" s="34">
        <v>40</v>
      </c>
      <c r="N24" s="34">
        <v>37</v>
      </c>
      <c r="O24" s="34">
        <v>65</v>
      </c>
      <c r="P24" s="7"/>
    </row>
    <row r="25" ht="13.65" customHeight="1">
      <c r="A25" s="34">
        <v>1028</v>
      </c>
      <c r="B25" s="35">
        <v>40059</v>
      </c>
      <c r="C25" s="36">
        <v>50.95</v>
      </c>
      <c r="D25" s="37">
        <v>1</v>
      </c>
      <c r="E25" s="37">
        <v>0</v>
      </c>
      <c r="F25" s="37">
        <v>0</v>
      </c>
      <c r="G25" s="37">
        <v>0</v>
      </c>
      <c r="H25" s="34">
        <v>0</v>
      </c>
      <c r="I25" s="34" cm="1">
        <f t="array" ref="I25">IF(ISBLANK(H25),"",IF(H25,2,IF(G25,1,3)))</f>
        <v>3</v>
      </c>
      <c r="J25" t="str" s="7" cm="1">
        <f t="array" ref="J25">IF(ISBLANK(H25),"",IF(H25,"HER2pos",IF(G25,"HRposHER2neg","TripleNeg")))</f>
        <v>TripleNeg</v>
      </c>
      <c r="K25" s="37">
        <v>0</v>
      </c>
      <c r="L25" s="37">
        <v>2</v>
      </c>
      <c r="M25" s="34">
        <v>60</v>
      </c>
      <c r="N25" s="34">
        <v>110</v>
      </c>
      <c r="O25" s="34">
        <v>110</v>
      </c>
      <c r="P25" s="34">
        <v>0</v>
      </c>
    </row>
    <row r="26" ht="13.65" customHeight="1">
      <c r="A26" s="34">
        <v>1029</v>
      </c>
      <c r="B26" s="35">
        <v>40059</v>
      </c>
      <c r="C26" s="36">
        <v>63.63</v>
      </c>
      <c r="D26" s="37">
        <v>1</v>
      </c>
      <c r="E26" s="37">
        <v>1</v>
      </c>
      <c r="F26" s="37">
        <v>1</v>
      </c>
      <c r="G26" s="37">
        <v>1</v>
      </c>
      <c r="H26" s="34">
        <v>1</v>
      </c>
      <c r="I26" s="34" cm="1">
        <f t="array" ref="I26">IF(ISBLANK(H26),"",IF(H26,2,IF(G26,1,3)))</f>
        <v>2</v>
      </c>
      <c r="J26" t="str" s="7" cm="1">
        <f t="array" ref="J26">IF(ISBLANK(H26),"",IF(H26,"HER2pos",IF(G26,"HRposHER2neg","TripleNeg")))</f>
        <v>HER2pos</v>
      </c>
      <c r="K26" s="37">
        <v>0</v>
      </c>
      <c r="L26" s="37">
        <v>2</v>
      </c>
      <c r="M26" s="34">
        <v>46</v>
      </c>
      <c r="N26" s="34">
        <v>50</v>
      </c>
      <c r="O26" s="34">
        <v>41</v>
      </c>
      <c r="P26" s="34">
        <v>39</v>
      </c>
    </row>
    <row r="27" ht="13.65" customHeight="1">
      <c r="A27" s="34">
        <v>1030</v>
      </c>
      <c r="B27" s="35">
        <v>40059</v>
      </c>
      <c r="C27" s="36">
        <v>52.46</v>
      </c>
      <c r="D27" s="37">
        <v>4</v>
      </c>
      <c r="E27" s="37">
        <v>0</v>
      </c>
      <c r="F27" s="37">
        <v>0</v>
      </c>
      <c r="G27" s="37">
        <v>0</v>
      </c>
      <c r="H27" s="34">
        <v>1</v>
      </c>
      <c r="I27" s="34" cm="1">
        <f t="array" ref="I27">IF(ISBLANK(H27),"",IF(H27,2,IF(G27,1,3)))</f>
        <v>2</v>
      </c>
      <c r="J27" t="str" s="7" cm="1">
        <f t="array" ref="J27">IF(ISBLANK(H27),"",IF(H27,"HER2pos",IF(G27,"HRposHER2neg","TripleNeg")))</f>
        <v>HER2pos</v>
      </c>
      <c r="K27" s="37">
        <v>0</v>
      </c>
      <c r="L27" s="37">
        <v>2</v>
      </c>
      <c r="M27" s="34">
        <v>49</v>
      </c>
      <c r="N27" s="34">
        <v>47</v>
      </c>
      <c r="O27" s="34">
        <v>42</v>
      </c>
      <c r="P27" s="34">
        <v>41</v>
      </c>
    </row>
    <row r="28" ht="13.65" customHeight="1">
      <c r="A28" s="34">
        <v>1031</v>
      </c>
      <c r="B28" s="35">
        <v>40059</v>
      </c>
      <c r="C28" s="36">
        <v>54.16</v>
      </c>
      <c r="D28" s="37">
        <v>1</v>
      </c>
      <c r="E28" s="37">
        <v>1</v>
      </c>
      <c r="F28" s="37">
        <v>0</v>
      </c>
      <c r="G28" s="37">
        <v>1</v>
      </c>
      <c r="H28" s="34">
        <v>0</v>
      </c>
      <c r="I28" s="34" cm="1">
        <f t="array" ref="I28">IF(ISBLANK(H28),"",IF(H28,2,IF(G28,1,3)))</f>
        <v>1</v>
      </c>
      <c r="J28" t="str" s="7" cm="1">
        <f t="array" ref="J28">IF(ISBLANK(H28),"",IF(H28,"HER2pos",IF(G28,"HRposHER2neg","TripleNeg")))</f>
        <v>HRposHER2neg</v>
      </c>
      <c r="K28" s="37">
        <v>0</v>
      </c>
      <c r="L28" s="37">
        <v>2</v>
      </c>
      <c r="M28" s="34">
        <v>43</v>
      </c>
      <c r="N28" s="34">
        <v>38</v>
      </c>
      <c r="O28" s="34">
        <v>36</v>
      </c>
      <c r="P28" s="34">
        <v>34</v>
      </c>
    </row>
    <row r="29" ht="13.65" customHeight="1">
      <c r="A29" s="34">
        <v>1032</v>
      </c>
      <c r="B29" s="35">
        <v>40059</v>
      </c>
      <c r="C29" s="36">
        <v>37.58</v>
      </c>
      <c r="D29" s="37">
        <v>4</v>
      </c>
      <c r="E29" s="37">
        <v>1</v>
      </c>
      <c r="F29" s="37">
        <v>1</v>
      </c>
      <c r="G29" s="37">
        <v>1</v>
      </c>
      <c r="H29" s="34">
        <v>0</v>
      </c>
      <c r="I29" s="34" cm="1">
        <f t="array" ref="I29">IF(ISBLANK(H29),"",IF(H29,2,IF(G29,1,3)))</f>
        <v>1</v>
      </c>
      <c r="J29" t="str" s="7" cm="1">
        <f t="array" ref="J29">IF(ISBLANK(H29),"",IF(H29,"HER2pos",IF(G29,"HRposHER2neg","TripleNeg")))</f>
        <v>HRposHER2neg</v>
      </c>
      <c r="K29" s="37">
        <v>0</v>
      </c>
      <c r="L29" s="37">
        <v>2</v>
      </c>
      <c r="M29" s="34">
        <v>60</v>
      </c>
      <c r="N29" s="34">
        <v>50</v>
      </c>
      <c r="O29" s="34">
        <v>47</v>
      </c>
      <c r="P29" s="34">
        <v>52</v>
      </c>
    </row>
    <row r="30" ht="13.65" customHeight="1">
      <c r="A30" s="34">
        <v>1033</v>
      </c>
      <c r="B30" s="35">
        <v>40059</v>
      </c>
      <c r="C30" s="36">
        <v>59.05</v>
      </c>
      <c r="D30" s="37">
        <v>1</v>
      </c>
      <c r="E30" s="37">
        <v>1</v>
      </c>
      <c r="F30" s="37">
        <v>1</v>
      </c>
      <c r="G30" s="37">
        <v>1</v>
      </c>
      <c r="H30" s="34">
        <v>0</v>
      </c>
      <c r="I30" s="34" cm="1">
        <f t="array" ref="I30">IF(ISBLANK(H30),"",IF(H30,2,IF(G30,1,3)))</f>
        <v>1</v>
      </c>
      <c r="J30" t="str" s="7" cm="1">
        <f t="array" ref="J30">IF(ISBLANK(H30),"",IF(H30,"HER2pos",IF(G30,"HRposHER2neg","TripleNeg")))</f>
        <v>HRposHER2neg</v>
      </c>
      <c r="K30" s="37">
        <v>0</v>
      </c>
      <c r="L30" s="37">
        <v>1</v>
      </c>
      <c r="M30" s="34">
        <v>130</v>
      </c>
      <c r="N30" s="34">
        <v>64</v>
      </c>
      <c r="O30" s="34">
        <v>64</v>
      </c>
      <c r="P30" s="34">
        <v>69</v>
      </c>
    </row>
    <row r="31" ht="13.65" customHeight="1">
      <c r="A31" s="34">
        <v>1034</v>
      </c>
      <c r="B31" s="35">
        <v>40059</v>
      </c>
      <c r="C31" s="36">
        <v>46.57</v>
      </c>
      <c r="D31" s="37">
        <v>1</v>
      </c>
      <c r="E31" s="37">
        <v>0</v>
      </c>
      <c r="F31" s="37">
        <v>0</v>
      </c>
      <c r="G31" s="37">
        <v>0</v>
      </c>
      <c r="H31" s="34">
        <v>0</v>
      </c>
      <c r="I31" s="34" cm="1">
        <f t="array" ref="I31">IF(ISBLANK(H31),"",IF(H31,2,IF(G31,1,3)))</f>
        <v>3</v>
      </c>
      <c r="J31" t="str" s="7" cm="1">
        <f t="array" ref="J31">IF(ISBLANK(H31),"",IF(H31,"HER2pos",IF(G31,"HRposHER2neg","TripleNeg")))</f>
        <v>TripleNeg</v>
      </c>
      <c r="K31" s="37">
        <v>0</v>
      </c>
      <c r="L31" s="37">
        <v>1</v>
      </c>
      <c r="M31" s="34">
        <v>88</v>
      </c>
      <c r="N31" s="34">
        <v>82</v>
      </c>
      <c r="O31" s="34">
        <v>0</v>
      </c>
      <c r="P31" s="34">
        <v>0</v>
      </c>
    </row>
    <row r="32" ht="13.65" customHeight="1">
      <c r="A32" s="34">
        <v>1035</v>
      </c>
      <c r="B32" s="35">
        <v>40059</v>
      </c>
      <c r="C32" s="36">
        <v>40.82</v>
      </c>
      <c r="D32" s="37">
        <v>1</v>
      </c>
      <c r="E32" s="37">
        <v>1</v>
      </c>
      <c r="F32" s="37">
        <v>1</v>
      </c>
      <c r="G32" s="37">
        <v>1</v>
      </c>
      <c r="H32" s="34">
        <v>1</v>
      </c>
      <c r="I32" s="34" cm="1">
        <f t="array" ref="I32">IF(ISBLANK(H32),"",IF(H32,2,IF(G32,1,3)))</f>
        <v>2</v>
      </c>
      <c r="J32" t="str" s="7" cm="1">
        <f t="array" ref="J32">IF(ISBLANK(H32),"",IF(H32,"HER2pos",IF(G32,"HRposHER2neg","TripleNeg")))</f>
        <v>HER2pos</v>
      </c>
      <c r="K32" s="37">
        <v>0</v>
      </c>
      <c r="L32" s="37">
        <v>2</v>
      </c>
      <c r="M32" s="34">
        <v>100</v>
      </c>
      <c r="N32" s="34">
        <v>90</v>
      </c>
      <c r="O32" s="34">
        <v>60</v>
      </c>
      <c r="P32" s="34">
        <v>41</v>
      </c>
    </row>
    <row r="33" ht="13.65" customHeight="1">
      <c r="A33" s="34">
        <v>1036</v>
      </c>
      <c r="B33" s="35">
        <v>40059</v>
      </c>
      <c r="C33" s="36">
        <v>38.27</v>
      </c>
      <c r="D33" s="37">
        <v>1</v>
      </c>
      <c r="E33" s="37">
        <v>0</v>
      </c>
      <c r="F33" s="37">
        <v>0</v>
      </c>
      <c r="G33" s="37">
        <v>0</v>
      </c>
      <c r="H33" s="34">
        <v>1</v>
      </c>
      <c r="I33" s="34" cm="1">
        <f t="array" ref="I33">IF(ISBLANK(H33),"",IF(H33,2,IF(G33,1,3)))</f>
        <v>2</v>
      </c>
      <c r="J33" t="str" s="7" cm="1">
        <f t="array" ref="J33">IF(ISBLANK(H33),"",IF(H33,"HER2pos",IF(G33,"HRposHER2neg","TripleNeg")))</f>
        <v>HER2pos</v>
      </c>
      <c r="K33" s="37">
        <v>0</v>
      </c>
      <c r="L33" s="37">
        <v>2</v>
      </c>
      <c r="M33" s="34">
        <v>101</v>
      </c>
      <c r="N33" s="34">
        <v>100</v>
      </c>
      <c r="O33" s="7"/>
      <c r="P33" s="34">
        <v>83</v>
      </c>
    </row>
    <row r="34" ht="13.65" customHeight="1">
      <c r="A34" s="34">
        <v>1037</v>
      </c>
      <c r="B34" s="35">
        <v>40059</v>
      </c>
      <c r="C34" s="36">
        <v>51.14</v>
      </c>
      <c r="D34" s="37">
        <v>1</v>
      </c>
      <c r="E34" s="37">
        <v>0</v>
      </c>
      <c r="F34" s="37">
        <v>0</v>
      </c>
      <c r="G34" s="37">
        <v>0</v>
      </c>
      <c r="H34" s="34">
        <v>0</v>
      </c>
      <c r="I34" s="34" cm="1">
        <f t="array" ref="I34">IF(ISBLANK(H34),"",IF(H34,2,IF(G34,1,3)))</f>
        <v>3</v>
      </c>
      <c r="J34" t="str" s="7" cm="1">
        <f t="array" ref="J34">IF(ISBLANK(H34),"",IF(H34,"HER2pos",IF(G34,"HRposHER2neg","TripleNeg")))</f>
        <v>TripleNeg</v>
      </c>
      <c r="K34" s="37">
        <v>0</v>
      </c>
      <c r="L34" s="37">
        <v>1</v>
      </c>
      <c r="M34" s="34">
        <v>92</v>
      </c>
      <c r="N34" s="34">
        <v>84</v>
      </c>
      <c r="O34" s="34">
        <v>82</v>
      </c>
      <c r="P34" s="34">
        <v>82</v>
      </c>
    </row>
    <row r="35" ht="13.65" customHeight="1">
      <c r="A35" s="34">
        <v>1038</v>
      </c>
      <c r="B35" s="35">
        <v>40059</v>
      </c>
      <c r="C35" s="36">
        <v>37.81</v>
      </c>
      <c r="D35" s="37">
        <v>3</v>
      </c>
      <c r="E35" s="37">
        <v>0</v>
      </c>
      <c r="F35" s="37">
        <v>0</v>
      </c>
      <c r="G35" s="37">
        <v>0</v>
      </c>
      <c r="H35" s="34">
        <v>0</v>
      </c>
      <c r="I35" s="34" cm="1">
        <f t="array" ref="I35">IF(ISBLANK(H35),"",IF(H35,2,IF(G35,1,3)))</f>
        <v>3</v>
      </c>
      <c r="J35" t="str" s="7" cm="1">
        <f t="array" ref="J35">IF(ISBLANK(H35),"",IF(H35,"HER2pos",IF(G35,"HRposHER2neg","TripleNeg")))</f>
        <v>TripleNeg</v>
      </c>
      <c r="K35" s="37">
        <v>0</v>
      </c>
      <c r="L35" s="37">
        <v>2</v>
      </c>
      <c r="M35" s="34">
        <v>36</v>
      </c>
      <c r="N35" s="34">
        <v>36</v>
      </c>
      <c r="O35" s="34">
        <v>26</v>
      </c>
      <c r="P35" s="34">
        <v>22</v>
      </c>
    </row>
    <row r="36" ht="13.65" customHeight="1">
      <c r="A36" s="34">
        <v>1039</v>
      </c>
      <c r="B36" s="35">
        <v>40059</v>
      </c>
      <c r="C36" s="36">
        <v>30.99</v>
      </c>
      <c r="D36" s="37">
        <v>3</v>
      </c>
      <c r="E36" s="37">
        <v>0</v>
      </c>
      <c r="F36" s="37">
        <v>0</v>
      </c>
      <c r="G36" s="37">
        <v>0</v>
      </c>
      <c r="H36" s="34">
        <v>1</v>
      </c>
      <c r="I36" s="34" cm="1">
        <f t="array" ref="I36">IF(ISBLANK(H36),"",IF(H36,2,IF(G36,1,3)))</f>
        <v>2</v>
      </c>
      <c r="J36" t="str" s="7" cm="1">
        <f t="array" ref="J36">IF(ISBLANK(H36),"",IF(H36,"HER2pos",IF(G36,"HRposHER2neg","TripleNeg")))</f>
        <v>HER2pos</v>
      </c>
      <c r="K36" s="37">
        <v>0</v>
      </c>
      <c r="L36" s="37">
        <v>2</v>
      </c>
      <c r="M36" s="34">
        <v>20</v>
      </c>
      <c r="N36" s="34">
        <v>20</v>
      </c>
      <c r="O36" s="34">
        <v>17</v>
      </c>
      <c r="P36" s="34">
        <v>12</v>
      </c>
    </row>
    <row r="37" ht="13.65" customHeight="1">
      <c r="A37" s="34">
        <v>1040</v>
      </c>
      <c r="B37" s="35">
        <v>40059</v>
      </c>
      <c r="C37" s="36">
        <v>56.46</v>
      </c>
      <c r="D37" s="37">
        <v>1</v>
      </c>
      <c r="E37" s="37">
        <v>0</v>
      </c>
      <c r="F37" s="37">
        <v>0</v>
      </c>
      <c r="G37" s="37">
        <v>0</v>
      </c>
      <c r="H37" s="34">
        <v>0</v>
      </c>
      <c r="I37" s="34" cm="1">
        <f t="array" ref="I37">IF(ISBLANK(H37),"",IF(H37,2,IF(G37,1,3)))</f>
        <v>3</v>
      </c>
      <c r="J37" t="str" s="7" cm="1">
        <f t="array" ref="J37">IF(ISBLANK(H37),"",IF(H37,"HER2pos",IF(G37,"HRposHER2neg","TripleNeg")))</f>
        <v>TripleNeg</v>
      </c>
      <c r="K37" s="37">
        <v>0</v>
      </c>
      <c r="L37" s="37">
        <v>2</v>
      </c>
      <c r="M37" s="34">
        <v>69</v>
      </c>
      <c r="N37" s="34">
        <v>64</v>
      </c>
      <c r="O37" s="7"/>
      <c r="P37" s="34">
        <v>50</v>
      </c>
    </row>
    <row r="38" ht="13.65" customHeight="1">
      <c r="A38" s="34">
        <v>1041</v>
      </c>
      <c r="B38" s="35">
        <v>40059</v>
      </c>
      <c r="C38" s="36">
        <v>46.64</v>
      </c>
      <c r="D38" s="37">
        <v>1</v>
      </c>
      <c r="E38" s="37">
        <v>1</v>
      </c>
      <c r="F38" s="37">
        <v>1</v>
      </c>
      <c r="G38" s="37">
        <v>1</v>
      </c>
      <c r="H38" s="34">
        <v>1</v>
      </c>
      <c r="I38" s="34" cm="1">
        <f t="array" ref="I38">IF(ISBLANK(H38),"",IF(H38,2,IF(G38,1,3)))</f>
        <v>2</v>
      </c>
      <c r="J38" t="str" s="7" cm="1">
        <f t="array" ref="J38">IF(ISBLANK(H38),"",IF(H38,"HER2pos",IF(G38,"HRposHER2neg","TripleNeg")))</f>
        <v>HER2pos</v>
      </c>
      <c r="K38" s="37">
        <v>0</v>
      </c>
      <c r="L38" s="37">
        <v>1</v>
      </c>
      <c r="M38" s="34">
        <v>90</v>
      </c>
      <c r="N38" s="34">
        <v>86</v>
      </c>
      <c r="O38" s="34">
        <v>86</v>
      </c>
      <c r="P38" s="34">
        <v>53</v>
      </c>
    </row>
    <row r="39" ht="13.65" customHeight="1">
      <c r="A39" s="34">
        <v>1042</v>
      </c>
      <c r="B39" s="35">
        <v>40059</v>
      </c>
      <c r="C39" s="36">
        <v>58.07</v>
      </c>
      <c r="D39" s="37">
        <v>1</v>
      </c>
      <c r="E39" s="37">
        <v>1</v>
      </c>
      <c r="F39" s="37">
        <v>1</v>
      </c>
      <c r="G39" s="37">
        <v>1</v>
      </c>
      <c r="H39" s="34">
        <v>0</v>
      </c>
      <c r="I39" s="34" cm="1">
        <f t="array" ref="I39">IF(ISBLANK(H39),"",IF(H39,2,IF(G39,1,3)))</f>
        <v>1</v>
      </c>
      <c r="J39" t="str" s="7" cm="1">
        <f t="array" ref="J39">IF(ISBLANK(H39),"",IF(H39,"HER2pos",IF(G39,"HRposHER2neg","TripleNeg")))</f>
        <v>HRposHER2neg</v>
      </c>
      <c r="K39" s="37">
        <v>0</v>
      </c>
      <c r="L39" s="37">
        <v>2</v>
      </c>
      <c r="M39" s="34">
        <v>93</v>
      </c>
      <c r="N39" s="34">
        <v>19</v>
      </c>
      <c r="O39" s="34">
        <v>76</v>
      </c>
      <c r="P39" s="34">
        <v>40</v>
      </c>
    </row>
    <row r="40" ht="13.65" customHeight="1">
      <c r="A40" s="34">
        <v>1043</v>
      </c>
      <c r="B40" s="35">
        <v>40059</v>
      </c>
      <c r="C40" s="36">
        <v>38.88</v>
      </c>
      <c r="D40" s="37">
        <v>1</v>
      </c>
      <c r="E40" s="37">
        <v>0</v>
      </c>
      <c r="F40" s="37">
        <v>1</v>
      </c>
      <c r="G40" s="37">
        <v>1</v>
      </c>
      <c r="H40" s="34">
        <v>1</v>
      </c>
      <c r="I40" s="34" cm="1">
        <f t="array" ref="I40">IF(ISBLANK(H40),"",IF(H40,2,IF(G40,1,3)))</f>
        <v>2</v>
      </c>
      <c r="J40" t="str" s="7" cm="1">
        <f t="array" ref="J40">IF(ISBLANK(H40),"",IF(H40,"HER2pos",IF(G40,"HRposHER2neg","TripleNeg")))</f>
        <v>HER2pos</v>
      </c>
      <c r="K40" s="37">
        <v>0</v>
      </c>
      <c r="L40" s="37">
        <v>2</v>
      </c>
      <c r="M40" s="34">
        <v>138</v>
      </c>
      <c r="N40" s="34">
        <v>146</v>
      </c>
      <c r="O40" s="34">
        <v>141</v>
      </c>
      <c r="P40" s="34">
        <v>39</v>
      </c>
    </row>
    <row r="41" ht="13.65" customHeight="1">
      <c r="A41" s="34">
        <v>1044</v>
      </c>
      <c r="B41" s="35">
        <v>40059</v>
      </c>
      <c r="C41" s="36">
        <v>58.84</v>
      </c>
      <c r="D41" s="37">
        <v>3</v>
      </c>
      <c r="E41" s="37">
        <v>0</v>
      </c>
      <c r="F41" s="37">
        <v>0</v>
      </c>
      <c r="G41" s="37">
        <v>0</v>
      </c>
      <c r="H41" s="34">
        <v>0</v>
      </c>
      <c r="I41" s="34" cm="1">
        <f t="array" ref="I41">IF(ISBLANK(H41),"",IF(H41,2,IF(G41,1,3)))</f>
        <v>3</v>
      </c>
      <c r="J41" t="str" s="7" cm="1">
        <f t="array" ref="J41">IF(ISBLANK(H41),"",IF(H41,"HER2pos",IF(G41,"HRposHER2neg","TripleNeg")))</f>
        <v>TripleNeg</v>
      </c>
      <c r="K41" s="37">
        <v>0</v>
      </c>
      <c r="L41" s="37">
        <v>2</v>
      </c>
      <c r="M41" s="34">
        <v>154</v>
      </c>
      <c r="N41" s="7"/>
      <c r="O41" s="7"/>
      <c r="P41" s="34">
        <v>129</v>
      </c>
    </row>
    <row r="42" ht="13.65" customHeight="1">
      <c r="A42" s="34">
        <v>1045</v>
      </c>
      <c r="B42" s="35">
        <v>40059</v>
      </c>
      <c r="C42" s="36">
        <v>49.58</v>
      </c>
      <c r="D42" s="37">
        <v>3</v>
      </c>
      <c r="E42" s="37">
        <v>0</v>
      </c>
      <c r="F42" s="37">
        <v>0</v>
      </c>
      <c r="G42" s="37">
        <v>0</v>
      </c>
      <c r="H42" s="34">
        <v>0</v>
      </c>
      <c r="I42" s="34" cm="1">
        <f t="array" ref="I42">IF(ISBLANK(H42),"",IF(H42,2,IF(G42,1,3)))</f>
        <v>3</v>
      </c>
      <c r="J42" t="str" s="7" cm="1">
        <f t="array" ref="J42">IF(ISBLANK(H42),"",IF(H42,"HER2pos",IF(G42,"HRposHER2neg","TripleNeg")))</f>
        <v>TripleNeg</v>
      </c>
      <c r="K42" s="37">
        <v>0</v>
      </c>
      <c r="L42" s="37">
        <v>1</v>
      </c>
      <c r="M42" s="34">
        <v>120</v>
      </c>
      <c r="N42" s="34">
        <v>42</v>
      </c>
      <c r="O42" s="34">
        <v>96</v>
      </c>
      <c r="P42" s="34">
        <v>30</v>
      </c>
    </row>
    <row r="43" ht="13.65" customHeight="1">
      <c r="A43" s="34">
        <v>1046</v>
      </c>
      <c r="B43" s="35">
        <v>40059</v>
      </c>
      <c r="C43" s="36">
        <v>42.79</v>
      </c>
      <c r="D43" s="37">
        <v>1</v>
      </c>
      <c r="E43" s="37">
        <v>1</v>
      </c>
      <c r="F43" s="37">
        <v>1</v>
      </c>
      <c r="G43" s="37">
        <v>1</v>
      </c>
      <c r="H43" s="34">
        <v>0</v>
      </c>
      <c r="I43" s="34" cm="1">
        <f t="array" ref="I43">IF(ISBLANK(H43),"",IF(H43,2,IF(G43,1,3)))</f>
        <v>1</v>
      </c>
      <c r="J43" t="str" s="7" cm="1">
        <f t="array" ref="J43">IF(ISBLANK(H43),"",IF(H43,"HER2pos",IF(G43,"HRposHER2neg","TripleNeg")))</f>
        <v>HRposHER2neg</v>
      </c>
      <c r="K43" s="37">
        <v>0</v>
      </c>
      <c r="L43" s="37">
        <v>1</v>
      </c>
      <c r="M43" s="34">
        <v>44</v>
      </c>
      <c r="N43" s="34">
        <v>27</v>
      </c>
      <c r="O43" s="7"/>
      <c r="P43" s="34">
        <v>27</v>
      </c>
    </row>
    <row r="44" ht="13.65" customHeight="1">
      <c r="A44" s="34">
        <v>1047</v>
      </c>
      <c r="B44" s="35">
        <v>40059</v>
      </c>
      <c r="C44" s="36">
        <v>26.69</v>
      </c>
      <c r="D44" s="37">
        <v>1</v>
      </c>
      <c r="E44" s="37">
        <v>1</v>
      </c>
      <c r="F44" s="37">
        <v>0</v>
      </c>
      <c r="G44" s="37">
        <v>1</v>
      </c>
      <c r="H44" s="34">
        <v>0</v>
      </c>
      <c r="I44" s="34" cm="1">
        <f t="array" ref="I44">IF(ISBLANK(H44),"",IF(H44,2,IF(G44,1,3)))</f>
        <v>1</v>
      </c>
      <c r="J44" t="str" s="7" cm="1">
        <f t="array" ref="J44">IF(ISBLANK(H44),"",IF(H44,"HER2pos",IF(G44,"HRposHER2neg","TripleNeg")))</f>
        <v>HRposHER2neg</v>
      </c>
      <c r="K44" s="37">
        <v>1</v>
      </c>
      <c r="L44" s="37">
        <v>2</v>
      </c>
      <c r="M44" s="34">
        <v>73</v>
      </c>
      <c r="N44" s="34">
        <v>80</v>
      </c>
      <c r="O44" s="34">
        <v>70</v>
      </c>
      <c r="P44" s="34">
        <v>25</v>
      </c>
    </row>
    <row r="45" ht="13.65" customHeight="1">
      <c r="A45" s="34">
        <v>1048</v>
      </c>
      <c r="B45" s="35">
        <v>40059</v>
      </c>
      <c r="C45" s="36">
        <v>52.32</v>
      </c>
      <c r="D45" s="37">
        <v>1</v>
      </c>
      <c r="E45" s="37">
        <v>1</v>
      </c>
      <c r="F45" s="37">
        <v>1</v>
      </c>
      <c r="G45" s="37">
        <v>1</v>
      </c>
      <c r="H45" s="34">
        <v>0</v>
      </c>
      <c r="I45" s="34" cm="1">
        <f t="array" ref="I45">IF(ISBLANK(H45),"",IF(H45,2,IF(G45,1,3)))</f>
        <v>1</v>
      </c>
      <c r="J45" t="str" s="7" cm="1">
        <f t="array" ref="J45">IF(ISBLANK(H45),"",IF(H45,"HER2pos",IF(G45,"HRposHER2neg","TripleNeg")))</f>
        <v>HRposHER2neg</v>
      </c>
      <c r="K45" s="37">
        <v>0</v>
      </c>
      <c r="L45" s="37">
        <v>2</v>
      </c>
      <c r="M45" s="34">
        <v>120</v>
      </c>
      <c r="N45" s="34">
        <v>91</v>
      </c>
      <c r="O45" s="34">
        <v>85</v>
      </c>
      <c r="P45" s="34">
        <v>45</v>
      </c>
    </row>
    <row r="46" ht="13.65" customHeight="1">
      <c r="A46" s="34">
        <v>1049</v>
      </c>
      <c r="B46" s="35">
        <v>40059</v>
      </c>
      <c r="C46" s="36">
        <v>50.43</v>
      </c>
      <c r="D46" s="37">
        <v>1</v>
      </c>
      <c r="E46" s="37">
        <v>0</v>
      </c>
      <c r="F46" s="37">
        <v>0</v>
      </c>
      <c r="G46" s="37">
        <v>0</v>
      </c>
      <c r="H46" s="34">
        <v>0</v>
      </c>
      <c r="I46" s="34" cm="1">
        <f t="array" ref="I46">IF(ISBLANK(H46),"",IF(H46,2,IF(G46,1,3)))</f>
        <v>3</v>
      </c>
      <c r="J46" t="str" s="7" cm="1">
        <f t="array" ref="J46">IF(ISBLANK(H46),"",IF(H46,"HER2pos",IF(G46,"HRposHER2neg","TripleNeg")))</f>
        <v>TripleNeg</v>
      </c>
      <c r="K46" s="37">
        <v>0</v>
      </c>
      <c r="L46" s="37">
        <v>1</v>
      </c>
      <c r="M46" s="34">
        <v>127</v>
      </c>
      <c r="N46" s="34">
        <v>111</v>
      </c>
      <c r="O46" s="34">
        <v>90</v>
      </c>
      <c r="P46" s="34">
        <v>81</v>
      </c>
    </row>
    <row r="47" ht="13.65" customHeight="1">
      <c r="A47" s="34">
        <v>1050</v>
      </c>
      <c r="B47" s="35">
        <v>40059</v>
      </c>
      <c r="C47" s="36">
        <v>63.17</v>
      </c>
      <c r="D47" s="37">
        <v>1</v>
      </c>
      <c r="E47" s="37">
        <v>0</v>
      </c>
      <c r="F47" s="37">
        <v>0</v>
      </c>
      <c r="G47" s="37">
        <v>0</v>
      </c>
      <c r="H47" s="34">
        <v>0</v>
      </c>
      <c r="I47" s="34" cm="1">
        <f t="array" ref="I47">IF(ISBLANK(H47),"",IF(H47,2,IF(G47,1,3)))</f>
        <v>3</v>
      </c>
      <c r="J47" t="str" s="7" cm="1">
        <f t="array" ref="J47">IF(ISBLANK(H47),"",IF(H47,"HER2pos",IF(G47,"HRposHER2neg","TripleNeg")))</f>
        <v>TripleNeg</v>
      </c>
      <c r="K47" s="37">
        <v>0</v>
      </c>
      <c r="L47" s="37">
        <v>2</v>
      </c>
      <c r="M47" s="34">
        <v>41</v>
      </c>
      <c r="N47" s="34">
        <v>34</v>
      </c>
      <c r="O47" s="34">
        <v>22</v>
      </c>
      <c r="P47" s="34">
        <v>0</v>
      </c>
    </row>
    <row r="48" ht="13.65" customHeight="1">
      <c r="A48" s="34">
        <v>1051</v>
      </c>
      <c r="B48" s="35">
        <v>40059</v>
      </c>
      <c r="C48" s="36">
        <v>48.8</v>
      </c>
      <c r="D48" s="37">
        <v>1</v>
      </c>
      <c r="E48" s="37">
        <v>1</v>
      </c>
      <c r="F48" s="37">
        <v>1</v>
      </c>
      <c r="G48" s="37">
        <v>1</v>
      </c>
      <c r="H48" s="34">
        <v>0</v>
      </c>
      <c r="I48" s="34" cm="1">
        <f t="array" ref="I48">IF(ISBLANK(H48),"",IF(H48,2,IF(G48,1,3)))</f>
        <v>1</v>
      </c>
      <c r="J48" t="str" s="7" cm="1">
        <f t="array" ref="J48">IF(ISBLANK(H48),"",IF(H48,"HER2pos",IF(G48,"HRposHER2neg","TripleNeg")))</f>
        <v>HRposHER2neg</v>
      </c>
      <c r="K48" s="37">
        <v>0</v>
      </c>
      <c r="L48" s="37">
        <v>2</v>
      </c>
      <c r="M48" s="34">
        <v>102</v>
      </c>
      <c r="N48" s="7"/>
      <c r="O48" s="34">
        <v>87</v>
      </c>
      <c r="P48" s="34">
        <v>79</v>
      </c>
    </row>
    <row r="49" ht="13.65" customHeight="1">
      <c r="A49" s="34">
        <v>1053</v>
      </c>
      <c r="B49" s="35">
        <v>40059</v>
      </c>
      <c r="C49" s="36">
        <v>62.4</v>
      </c>
      <c r="D49" s="37">
        <v>1</v>
      </c>
      <c r="E49" s="37">
        <v>1</v>
      </c>
      <c r="F49" s="37">
        <v>1</v>
      </c>
      <c r="G49" s="37">
        <v>1</v>
      </c>
      <c r="H49" s="34">
        <v>0</v>
      </c>
      <c r="I49" s="34" cm="1">
        <f t="array" ref="I49">IF(ISBLANK(H49),"",IF(H49,2,IF(G49,1,3)))</f>
        <v>1</v>
      </c>
      <c r="J49" t="str" s="7" cm="1">
        <f t="array" ref="J49">IF(ISBLANK(H49),"",IF(H49,"HER2pos",IF(G49,"HRposHER2neg","TripleNeg")))</f>
        <v>HRposHER2neg</v>
      </c>
      <c r="K49" s="37">
        <v>0</v>
      </c>
      <c r="L49" s="37">
        <v>2</v>
      </c>
      <c r="M49" s="34">
        <v>27</v>
      </c>
      <c r="N49" s="34">
        <v>36</v>
      </c>
      <c r="O49" s="7"/>
      <c r="P49" s="34">
        <v>30</v>
      </c>
    </row>
    <row r="50" ht="13.65" customHeight="1">
      <c r="A50" s="34">
        <v>1054</v>
      </c>
      <c r="B50" s="35">
        <v>40059</v>
      </c>
      <c r="C50" s="36">
        <v>42.76</v>
      </c>
      <c r="D50" s="37">
        <v>3</v>
      </c>
      <c r="E50" s="37">
        <v>0</v>
      </c>
      <c r="F50" s="37">
        <v>0</v>
      </c>
      <c r="G50" s="37">
        <v>0</v>
      </c>
      <c r="H50" s="34">
        <v>0</v>
      </c>
      <c r="I50" s="34" cm="1">
        <f t="array" ref="I50">IF(ISBLANK(H50),"",IF(H50,2,IF(G50,1,3)))</f>
        <v>3</v>
      </c>
      <c r="J50" t="str" s="7" cm="1">
        <f t="array" ref="J50">IF(ISBLANK(H50),"",IF(H50,"HER2pos",IF(G50,"HRposHER2neg","TripleNeg")))</f>
        <v>TripleNeg</v>
      </c>
      <c r="K50" s="37">
        <v>0</v>
      </c>
      <c r="L50" s="37">
        <v>2</v>
      </c>
      <c r="M50" s="34">
        <v>97</v>
      </c>
      <c r="N50" s="34">
        <v>106</v>
      </c>
      <c r="O50" s="34">
        <v>103</v>
      </c>
      <c r="P50" s="34">
        <v>84</v>
      </c>
    </row>
    <row r="51" ht="13.65" customHeight="1">
      <c r="A51" s="34">
        <v>1055</v>
      </c>
      <c r="B51" s="35">
        <v>40059</v>
      </c>
      <c r="C51" s="36">
        <v>52.82</v>
      </c>
      <c r="D51" s="37">
        <v>1</v>
      </c>
      <c r="E51" s="37">
        <v>1</v>
      </c>
      <c r="F51" s="37">
        <v>1</v>
      </c>
      <c r="G51" s="37">
        <v>1</v>
      </c>
      <c r="H51" s="34">
        <v>0</v>
      </c>
      <c r="I51" s="34" cm="1">
        <f t="array" ref="I51">IF(ISBLANK(H51),"",IF(H51,2,IF(G51,1,3)))</f>
        <v>1</v>
      </c>
      <c r="J51" t="str" s="7" cm="1">
        <f t="array" ref="J51">IF(ISBLANK(H51),"",IF(H51,"HER2pos",IF(G51,"HRposHER2neg","TripleNeg")))</f>
        <v>HRposHER2neg</v>
      </c>
      <c r="K51" s="37">
        <v>0</v>
      </c>
      <c r="L51" s="37">
        <v>2</v>
      </c>
      <c r="M51" s="34">
        <v>50</v>
      </c>
      <c r="N51" s="34">
        <v>50</v>
      </c>
      <c r="O51" s="34">
        <v>50</v>
      </c>
      <c r="P51" s="34">
        <v>37</v>
      </c>
    </row>
    <row r="52" ht="13.65" customHeight="1">
      <c r="A52" s="34">
        <v>1056</v>
      </c>
      <c r="B52" s="35">
        <v>40059</v>
      </c>
      <c r="C52" s="36">
        <v>35.37</v>
      </c>
      <c r="D52" s="37">
        <v>1</v>
      </c>
      <c r="E52" s="37">
        <v>0</v>
      </c>
      <c r="F52" s="37">
        <v>0</v>
      </c>
      <c r="G52" s="37">
        <v>0</v>
      </c>
      <c r="H52" s="34">
        <v>1</v>
      </c>
      <c r="I52" s="34" cm="1">
        <f t="array" ref="I52">IF(ISBLANK(H52),"",IF(H52,2,IF(G52,1,3)))</f>
        <v>2</v>
      </c>
      <c r="J52" t="str" s="7" cm="1">
        <f t="array" ref="J52">IF(ISBLANK(H52),"",IF(H52,"HER2pos",IF(G52,"HRposHER2neg","TripleNeg")))</f>
        <v>HER2pos</v>
      </c>
      <c r="K52" s="37">
        <v>0</v>
      </c>
      <c r="L52" s="37">
        <v>1</v>
      </c>
      <c r="M52" s="34">
        <v>108</v>
      </c>
      <c r="N52" s="34">
        <v>108</v>
      </c>
      <c r="O52" s="34">
        <v>105</v>
      </c>
      <c r="P52" s="34">
        <v>92</v>
      </c>
    </row>
    <row r="53" ht="13.65" customHeight="1">
      <c r="A53" s="34">
        <v>1057</v>
      </c>
      <c r="B53" s="35">
        <v>40059</v>
      </c>
      <c r="C53" s="36">
        <v>44.24</v>
      </c>
      <c r="D53" s="37">
        <v>1</v>
      </c>
      <c r="E53" s="37">
        <v>0</v>
      </c>
      <c r="F53" s="37">
        <v>0</v>
      </c>
      <c r="G53" s="37">
        <v>0</v>
      </c>
      <c r="H53" s="34">
        <v>0</v>
      </c>
      <c r="I53" s="34" cm="1">
        <f t="array" ref="I53">IF(ISBLANK(H53),"",IF(H53,2,IF(G53,1,3)))</f>
        <v>3</v>
      </c>
      <c r="J53" t="str" s="7" cm="1">
        <f t="array" ref="J53">IF(ISBLANK(H53),"",IF(H53,"HER2pos",IF(G53,"HRposHER2neg","TripleNeg")))</f>
        <v>TripleNeg</v>
      </c>
      <c r="K53" s="37">
        <v>0</v>
      </c>
      <c r="L53" s="37">
        <v>2</v>
      </c>
      <c r="M53" s="34">
        <v>105</v>
      </c>
      <c r="N53" s="34">
        <v>101</v>
      </c>
      <c r="O53" s="34">
        <v>87</v>
      </c>
      <c r="P53" s="34">
        <v>0</v>
      </c>
    </row>
    <row r="54" ht="13.65" customHeight="1">
      <c r="A54" s="34">
        <v>1058</v>
      </c>
      <c r="B54" s="35">
        <v>40059</v>
      </c>
      <c r="C54" s="36">
        <v>54.72</v>
      </c>
      <c r="D54" s="37">
        <v>1</v>
      </c>
      <c r="E54" s="37">
        <v>0</v>
      </c>
      <c r="F54" s="37">
        <v>0</v>
      </c>
      <c r="G54" s="37">
        <v>0</v>
      </c>
      <c r="H54" s="34">
        <v>0</v>
      </c>
      <c r="I54" s="34" cm="1">
        <f t="array" ref="I54">IF(ISBLANK(H54),"",IF(H54,2,IF(G54,1,3)))</f>
        <v>3</v>
      </c>
      <c r="J54" t="str" s="7" cm="1">
        <f t="array" ref="J54">IF(ISBLANK(H54),"",IF(H54,"HER2pos",IF(G54,"HRposHER2neg","TripleNeg")))</f>
        <v>TripleNeg</v>
      </c>
      <c r="K54" s="37">
        <v>0</v>
      </c>
      <c r="L54" s="37">
        <v>2</v>
      </c>
      <c r="M54" s="34">
        <v>38</v>
      </c>
      <c r="N54" s="34">
        <v>23</v>
      </c>
      <c r="O54" s="34">
        <v>6</v>
      </c>
      <c r="P54" s="34">
        <v>15</v>
      </c>
    </row>
    <row r="55" ht="13.65" customHeight="1">
      <c r="A55" s="34">
        <v>1059</v>
      </c>
      <c r="B55" s="35">
        <v>40059</v>
      </c>
      <c r="C55" s="36">
        <v>54.81</v>
      </c>
      <c r="D55" s="37">
        <v>1</v>
      </c>
      <c r="E55" s="37">
        <v>1</v>
      </c>
      <c r="F55" s="37">
        <v>1</v>
      </c>
      <c r="G55" s="37">
        <v>1</v>
      </c>
      <c r="H55" s="34">
        <v>0</v>
      </c>
      <c r="I55" s="34" cm="1">
        <f t="array" ref="I55">IF(ISBLANK(H55),"",IF(H55,2,IF(G55,1,3)))</f>
        <v>1</v>
      </c>
      <c r="J55" t="str" s="7" cm="1">
        <f t="array" ref="J55">IF(ISBLANK(H55),"",IF(H55,"HER2pos",IF(G55,"HRposHER2neg","TripleNeg")))</f>
        <v>HRposHER2neg</v>
      </c>
      <c r="K55" s="37">
        <v>0</v>
      </c>
      <c r="L55" s="37">
        <v>2</v>
      </c>
      <c r="M55" s="34">
        <v>20</v>
      </c>
      <c r="N55" s="34">
        <v>13</v>
      </c>
      <c r="O55" s="34">
        <v>17</v>
      </c>
      <c r="P55" s="7"/>
    </row>
    <row r="56" ht="13.65" customHeight="1">
      <c r="A56" s="34">
        <v>1060</v>
      </c>
      <c r="B56" s="35">
        <v>40059</v>
      </c>
      <c r="C56" s="36">
        <v>67.18000000000001</v>
      </c>
      <c r="D56" s="37">
        <v>3</v>
      </c>
      <c r="E56" s="37">
        <v>1</v>
      </c>
      <c r="F56" s="37">
        <v>1</v>
      </c>
      <c r="G56" s="37">
        <v>1</v>
      </c>
      <c r="H56" s="34">
        <v>0</v>
      </c>
      <c r="I56" s="34" cm="1">
        <f t="array" ref="I56">IF(ISBLANK(H56),"",IF(H56,2,IF(G56,1,3)))</f>
        <v>1</v>
      </c>
      <c r="J56" t="str" s="7" cm="1">
        <f t="array" ref="J56">IF(ISBLANK(H56),"",IF(H56,"HER2pos",IF(G56,"HRposHER2neg","TripleNeg")))</f>
        <v>HRposHER2neg</v>
      </c>
      <c r="K56" s="37">
        <v>0</v>
      </c>
      <c r="L56" s="37">
        <v>2</v>
      </c>
      <c r="M56" s="34">
        <v>72</v>
      </c>
      <c r="N56" s="34">
        <v>66</v>
      </c>
      <c r="O56" s="34">
        <v>45</v>
      </c>
      <c r="P56" s="34">
        <v>35</v>
      </c>
    </row>
    <row r="57" ht="13.65" customHeight="1">
      <c r="A57" s="34">
        <v>1061</v>
      </c>
      <c r="B57" s="35">
        <v>40059</v>
      </c>
      <c r="C57" s="36">
        <v>54.19</v>
      </c>
      <c r="D57" s="37">
        <v>1</v>
      </c>
      <c r="E57" s="37">
        <v>0</v>
      </c>
      <c r="F57" s="37">
        <v>0</v>
      </c>
      <c r="G57" s="37">
        <v>0</v>
      </c>
      <c r="H57" s="34">
        <v>1</v>
      </c>
      <c r="I57" s="34" cm="1">
        <f t="array" ref="I57">IF(ISBLANK(H57),"",IF(H57,2,IF(G57,1,3)))</f>
        <v>2</v>
      </c>
      <c r="J57" t="str" s="7" cm="1">
        <f t="array" ref="J57">IF(ISBLANK(H57),"",IF(H57,"HER2pos",IF(G57,"HRposHER2neg","TripleNeg")))</f>
        <v>HER2pos</v>
      </c>
      <c r="K57" s="37">
        <v>0</v>
      </c>
      <c r="L57" s="37">
        <v>2</v>
      </c>
      <c r="M57" s="34">
        <v>60</v>
      </c>
      <c r="N57" s="34">
        <v>57</v>
      </c>
      <c r="O57" s="34">
        <v>18</v>
      </c>
      <c r="P57" s="34">
        <v>20</v>
      </c>
    </row>
    <row r="58" ht="13.65" customHeight="1">
      <c r="A58" s="34">
        <v>1062</v>
      </c>
      <c r="B58" s="35">
        <v>40059</v>
      </c>
      <c r="C58" s="36">
        <v>34.61</v>
      </c>
      <c r="D58" s="37">
        <v>1</v>
      </c>
      <c r="E58" s="37">
        <v>1</v>
      </c>
      <c r="F58" s="37">
        <v>1</v>
      </c>
      <c r="G58" s="37">
        <v>1</v>
      </c>
      <c r="H58" s="34">
        <v>0</v>
      </c>
      <c r="I58" s="34" cm="1">
        <f t="array" ref="I58">IF(ISBLANK(H58),"",IF(H58,2,IF(G58,1,3)))</f>
        <v>1</v>
      </c>
      <c r="J58" t="str" s="7" cm="1">
        <f t="array" ref="J58">IF(ISBLANK(H58),"",IF(H58,"HER2pos",IF(G58,"HRposHER2neg","TripleNeg")))</f>
        <v>HRposHER2neg</v>
      </c>
      <c r="K58" s="37">
        <v>0</v>
      </c>
      <c r="L58" s="37">
        <v>2</v>
      </c>
      <c r="M58" s="34">
        <v>77</v>
      </c>
      <c r="N58" s="34">
        <v>85</v>
      </c>
      <c r="O58" s="34">
        <v>100</v>
      </c>
      <c r="P58" s="34">
        <v>98</v>
      </c>
    </row>
    <row r="59" ht="13.65" customHeight="1">
      <c r="A59" s="34">
        <v>1063</v>
      </c>
      <c r="B59" s="35">
        <v>40059</v>
      </c>
      <c r="C59" s="36">
        <v>52.17</v>
      </c>
      <c r="D59" s="37">
        <v>1</v>
      </c>
      <c r="E59" s="37">
        <v>1</v>
      </c>
      <c r="F59" s="37">
        <v>0</v>
      </c>
      <c r="G59" s="37">
        <v>1</v>
      </c>
      <c r="H59" s="34">
        <v>1</v>
      </c>
      <c r="I59" s="34" cm="1">
        <f t="array" ref="I59">IF(ISBLANK(H59),"",IF(H59,2,IF(G59,1,3)))</f>
        <v>2</v>
      </c>
      <c r="J59" t="str" s="7" cm="1">
        <f t="array" ref="J59">IF(ISBLANK(H59),"",IF(H59,"HER2pos",IF(G59,"HRposHER2neg","TripleNeg")))</f>
        <v>HER2pos</v>
      </c>
      <c r="K59" s="37">
        <v>0</v>
      </c>
      <c r="L59" s="37">
        <v>2</v>
      </c>
      <c r="M59" s="34">
        <v>100</v>
      </c>
      <c r="N59" s="34">
        <v>86</v>
      </c>
      <c r="O59" s="34">
        <v>60</v>
      </c>
      <c r="P59" s="34">
        <v>82</v>
      </c>
    </row>
    <row r="60" ht="13.65" customHeight="1">
      <c r="A60" s="34">
        <v>1064</v>
      </c>
      <c r="B60" s="35">
        <v>40059</v>
      </c>
      <c r="C60" s="36">
        <v>60.11</v>
      </c>
      <c r="D60" s="37">
        <v>1</v>
      </c>
      <c r="E60" s="37">
        <v>0</v>
      </c>
      <c r="F60" s="37">
        <v>0</v>
      </c>
      <c r="G60" s="37">
        <v>0</v>
      </c>
      <c r="H60" s="34">
        <v>0</v>
      </c>
      <c r="I60" s="34" cm="1">
        <f t="array" ref="I60">IF(ISBLANK(H60),"",IF(H60,2,IF(G60,1,3)))</f>
        <v>3</v>
      </c>
      <c r="J60" t="str" s="7" cm="1">
        <f t="array" ref="J60">IF(ISBLANK(H60),"",IF(H60,"HER2pos",IF(G60,"HRposHER2neg","TripleNeg")))</f>
        <v>TripleNeg</v>
      </c>
      <c r="K60" s="37">
        <v>0</v>
      </c>
      <c r="L60" s="37">
        <v>2</v>
      </c>
      <c r="M60" s="34">
        <v>70</v>
      </c>
      <c r="N60" s="34">
        <v>67</v>
      </c>
      <c r="O60" s="34">
        <v>47</v>
      </c>
      <c r="P60" s="34">
        <v>30</v>
      </c>
    </row>
    <row r="61" ht="13.65" customHeight="1">
      <c r="A61" s="34">
        <v>1065</v>
      </c>
      <c r="B61" s="35">
        <v>40059</v>
      </c>
      <c r="C61" s="36">
        <v>55.22</v>
      </c>
      <c r="D61" s="37">
        <v>3</v>
      </c>
      <c r="E61" s="37">
        <v>1</v>
      </c>
      <c r="F61" s="37">
        <v>1</v>
      </c>
      <c r="G61" s="37">
        <v>1</v>
      </c>
      <c r="H61" s="34">
        <v>1</v>
      </c>
      <c r="I61" s="34" cm="1">
        <f t="array" ref="I61">IF(ISBLANK(H61),"",IF(H61,2,IF(G61,1,3)))</f>
        <v>2</v>
      </c>
      <c r="J61" t="str" s="7" cm="1">
        <f t="array" ref="J61">IF(ISBLANK(H61),"",IF(H61,"HER2pos",IF(G61,"HRposHER2neg","TripleNeg")))</f>
        <v>HER2pos</v>
      </c>
      <c r="K61" s="37">
        <v>0</v>
      </c>
      <c r="L61" s="37">
        <v>2</v>
      </c>
      <c r="M61" s="34">
        <v>41</v>
      </c>
      <c r="N61" s="34">
        <v>50</v>
      </c>
      <c r="O61" s="34">
        <v>40</v>
      </c>
      <c r="P61" s="34">
        <v>25</v>
      </c>
    </row>
    <row r="62" ht="13.65" customHeight="1">
      <c r="A62" s="34">
        <v>1066</v>
      </c>
      <c r="B62" s="35">
        <v>40059</v>
      </c>
      <c r="C62" s="36">
        <v>57.42</v>
      </c>
      <c r="D62" s="37">
        <v>1</v>
      </c>
      <c r="E62" s="37">
        <v>0</v>
      </c>
      <c r="F62" s="37">
        <v>0</v>
      </c>
      <c r="G62" s="37">
        <v>0</v>
      </c>
      <c r="H62" s="34">
        <v>0</v>
      </c>
      <c r="I62" s="34" cm="1">
        <f t="array" ref="I62">IF(ISBLANK(H62),"",IF(H62,2,IF(G62,1,3)))</f>
        <v>3</v>
      </c>
      <c r="J62" t="str" s="7" cm="1">
        <f t="array" ref="J62">IF(ISBLANK(H62),"",IF(H62,"HER2pos",IF(G62,"HRposHER2neg","TripleNeg")))</f>
        <v>TripleNeg</v>
      </c>
      <c r="K62" s="37">
        <v>0</v>
      </c>
      <c r="L62" s="37">
        <v>2</v>
      </c>
      <c r="M62" s="34">
        <v>33</v>
      </c>
      <c r="N62" s="34">
        <v>29</v>
      </c>
      <c r="O62" s="34">
        <v>30</v>
      </c>
      <c r="P62" s="34">
        <v>30</v>
      </c>
    </row>
    <row r="63" ht="13.65" customHeight="1">
      <c r="A63" s="34">
        <v>1067</v>
      </c>
      <c r="B63" s="35">
        <v>40059</v>
      </c>
      <c r="C63" s="36">
        <v>58.43</v>
      </c>
      <c r="D63" s="37">
        <v>1</v>
      </c>
      <c r="E63" s="37">
        <v>0</v>
      </c>
      <c r="F63" s="37">
        <v>0</v>
      </c>
      <c r="G63" s="37">
        <v>0</v>
      </c>
      <c r="H63" s="34">
        <v>0</v>
      </c>
      <c r="I63" s="34" cm="1">
        <f t="array" ref="I63">IF(ISBLANK(H63),"",IF(H63,2,IF(G63,1,3)))</f>
        <v>3</v>
      </c>
      <c r="J63" t="str" s="7" cm="1">
        <f t="array" ref="J63">IF(ISBLANK(H63),"",IF(H63,"HER2pos",IF(G63,"HRposHER2neg","TripleNeg")))</f>
        <v>TripleNeg</v>
      </c>
      <c r="K63" s="37">
        <v>0</v>
      </c>
      <c r="L63" s="37">
        <v>2</v>
      </c>
      <c r="M63" s="34">
        <v>77</v>
      </c>
      <c r="N63" s="34">
        <v>60</v>
      </c>
      <c r="O63" s="34">
        <v>0</v>
      </c>
      <c r="P63" s="7"/>
    </row>
    <row r="64" ht="13.65" customHeight="1">
      <c r="A64" s="34">
        <v>1068</v>
      </c>
      <c r="B64" s="35">
        <v>40059</v>
      </c>
      <c r="C64" s="36">
        <v>53.22</v>
      </c>
      <c r="D64" s="37">
        <v>1</v>
      </c>
      <c r="E64" s="37">
        <v>1</v>
      </c>
      <c r="F64" s="37">
        <v>1</v>
      </c>
      <c r="G64" s="37">
        <v>1</v>
      </c>
      <c r="H64" s="34">
        <v>0</v>
      </c>
      <c r="I64" s="34" cm="1">
        <f t="array" ref="I64">IF(ISBLANK(H64),"",IF(H64,2,IF(G64,1,3)))</f>
        <v>1</v>
      </c>
      <c r="J64" t="str" s="7" cm="1">
        <f t="array" ref="J64">IF(ISBLANK(H64),"",IF(H64,"HER2pos",IF(G64,"HRposHER2neg","TripleNeg")))</f>
        <v>HRposHER2neg</v>
      </c>
      <c r="K64" s="37">
        <v>0</v>
      </c>
      <c r="L64" s="37">
        <v>1</v>
      </c>
      <c r="M64" s="34">
        <v>51</v>
      </c>
      <c r="N64" s="34">
        <v>54</v>
      </c>
      <c r="O64" s="34">
        <v>54</v>
      </c>
      <c r="P64" s="7"/>
    </row>
    <row r="65" ht="13.65" customHeight="1">
      <c r="A65" s="34">
        <v>1069</v>
      </c>
      <c r="B65" s="35">
        <v>40059</v>
      </c>
      <c r="C65" s="36">
        <v>57.18</v>
      </c>
      <c r="D65" s="37">
        <v>1</v>
      </c>
      <c r="E65" s="37">
        <v>1</v>
      </c>
      <c r="F65" s="37">
        <v>1</v>
      </c>
      <c r="G65" s="37">
        <v>1</v>
      </c>
      <c r="H65" s="34">
        <v>0</v>
      </c>
      <c r="I65" s="34" cm="1">
        <f t="array" ref="I65">IF(ISBLANK(H65),"",IF(H65,2,IF(G65,1,3)))</f>
        <v>1</v>
      </c>
      <c r="J65" t="str" s="7" cm="1">
        <f t="array" ref="J65">IF(ISBLANK(H65),"",IF(H65,"HER2pos",IF(G65,"HRposHER2neg","TripleNeg")))</f>
        <v>HRposHER2neg</v>
      </c>
      <c r="K65" s="37">
        <v>0</v>
      </c>
      <c r="L65" s="37">
        <v>1</v>
      </c>
      <c r="M65" s="34">
        <v>31</v>
      </c>
      <c r="N65" s="34">
        <v>26</v>
      </c>
      <c r="O65" s="34">
        <v>22</v>
      </c>
      <c r="P65" s="34">
        <v>24</v>
      </c>
    </row>
    <row r="66" ht="13.65" customHeight="1">
      <c r="A66" s="34">
        <v>1070</v>
      </c>
      <c r="B66" s="35">
        <v>40059</v>
      </c>
      <c r="C66" s="36">
        <v>36.78</v>
      </c>
      <c r="D66" s="37">
        <v>0</v>
      </c>
      <c r="E66" s="37">
        <v>1</v>
      </c>
      <c r="F66" s="37">
        <v>0</v>
      </c>
      <c r="G66" s="37">
        <v>1</v>
      </c>
      <c r="H66" s="34">
        <v>0</v>
      </c>
      <c r="I66" s="34" cm="1">
        <f t="array" ref="I66">IF(ISBLANK(H66),"",IF(H66,2,IF(G66,1,3)))</f>
        <v>1</v>
      </c>
      <c r="J66" t="str" s="7" cm="1">
        <f t="array" ref="J66">IF(ISBLANK(H66),"",IF(H66,"HER2pos",IF(G66,"HRposHER2neg","TripleNeg")))</f>
        <v>HRposHER2neg</v>
      </c>
      <c r="K66" s="37">
        <v>0</v>
      </c>
      <c r="L66" s="37">
        <v>2</v>
      </c>
      <c r="M66" s="34">
        <v>56</v>
      </c>
      <c r="N66" s="34">
        <v>50</v>
      </c>
      <c r="O66" s="34">
        <v>21</v>
      </c>
      <c r="P66" s="34">
        <v>19</v>
      </c>
    </row>
    <row r="67" ht="13.65" customHeight="1">
      <c r="A67" s="34">
        <v>1071</v>
      </c>
      <c r="B67" s="35">
        <v>40059</v>
      </c>
      <c r="C67" s="36">
        <v>38.53</v>
      </c>
      <c r="D67" s="37">
        <v>3</v>
      </c>
      <c r="E67" s="37">
        <v>1</v>
      </c>
      <c r="F67" s="37">
        <v>1</v>
      </c>
      <c r="G67" s="37">
        <v>1</v>
      </c>
      <c r="H67" s="34">
        <v>0</v>
      </c>
      <c r="I67" s="34" cm="1">
        <f t="array" ref="I67">IF(ISBLANK(H67),"",IF(H67,2,IF(G67,1,3)))</f>
        <v>1</v>
      </c>
      <c r="J67" t="str" s="7" cm="1">
        <f t="array" ref="J67">IF(ISBLANK(H67),"",IF(H67,"HER2pos",IF(G67,"HRposHER2neg","TripleNeg")))</f>
        <v>HRposHER2neg</v>
      </c>
      <c r="K67" s="37">
        <v>0</v>
      </c>
      <c r="L67" s="37">
        <v>1</v>
      </c>
      <c r="M67" s="34">
        <v>126</v>
      </c>
      <c r="N67" s="34">
        <v>130</v>
      </c>
      <c r="O67" s="34">
        <v>139</v>
      </c>
      <c r="P67" s="34">
        <v>19</v>
      </c>
    </row>
    <row r="68" ht="13.65" customHeight="1">
      <c r="A68" s="34">
        <v>1072</v>
      </c>
      <c r="B68" s="35">
        <v>40059</v>
      </c>
      <c r="C68" s="36">
        <v>55.86</v>
      </c>
      <c r="D68" s="37">
        <v>1</v>
      </c>
      <c r="E68" s="37">
        <v>0</v>
      </c>
      <c r="F68" s="37">
        <v>0</v>
      </c>
      <c r="G68" s="37">
        <v>0</v>
      </c>
      <c r="H68" s="34">
        <v>0</v>
      </c>
      <c r="I68" s="34" cm="1">
        <f t="array" ref="I68">IF(ISBLANK(H68),"",IF(H68,2,IF(G68,1,3)))</f>
        <v>3</v>
      </c>
      <c r="J68" t="str" s="7" cm="1">
        <f t="array" ref="J68">IF(ISBLANK(H68),"",IF(H68,"HER2pos",IF(G68,"HRposHER2neg","TripleNeg")))</f>
        <v>TripleNeg</v>
      </c>
      <c r="K68" s="37">
        <v>0</v>
      </c>
      <c r="L68" s="37">
        <v>1</v>
      </c>
      <c r="M68" s="34">
        <v>64</v>
      </c>
      <c r="N68" s="7"/>
      <c r="O68" s="34">
        <v>60</v>
      </c>
      <c r="P68" s="34">
        <v>53</v>
      </c>
    </row>
    <row r="69" ht="13.65" customHeight="1">
      <c r="A69" s="34">
        <v>1073</v>
      </c>
      <c r="B69" s="35">
        <v>40059</v>
      </c>
      <c r="C69" s="36">
        <v>49.24</v>
      </c>
      <c r="D69" s="37">
        <v>1</v>
      </c>
      <c r="E69" s="37">
        <v>0</v>
      </c>
      <c r="F69" s="37">
        <v>0</v>
      </c>
      <c r="G69" s="37">
        <v>0</v>
      </c>
      <c r="H69" s="34">
        <v>1</v>
      </c>
      <c r="I69" s="34" cm="1">
        <f t="array" ref="I69">IF(ISBLANK(H69),"",IF(H69,2,IF(G69,1,3)))</f>
        <v>2</v>
      </c>
      <c r="J69" t="str" s="7" cm="1">
        <f t="array" ref="J69">IF(ISBLANK(H69),"",IF(H69,"HER2pos",IF(G69,"HRposHER2neg","TripleNeg")))</f>
        <v>HER2pos</v>
      </c>
      <c r="K69" s="37">
        <v>0</v>
      </c>
      <c r="L69" s="37">
        <v>1</v>
      </c>
      <c r="M69" s="34">
        <v>75</v>
      </c>
      <c r="N69" s="34">
        <v>72</v>
      </c>
      <c r="O69" s="34">
        <v>72</v>
      </c>
      <c r="P69" s="34">
        <v>68</v>
      </c>
    </row>
    <row r="70" ht="13.65" customHeight="1">
      <c r="A70" s="34">
        <v>1074</v>
      </c>
      <c r="B70" s="35">
        <v>40059</v>
      </c>
      <c r="C70" s="36">
        <v>36.51</v>
      </c>
      <c r="D70" s="37">
        <v>1</v>
      </c>
      <c r="E70" s="37">
        <v>1</v>
      </c>
      <c r="F70" s="37">
        <v>0</v>
      </c>
      <c r="G70" s="37">
        <v>1</v>
      </c>
      <c r="H70" s="34">
        <v>0</v>
      </c>
      <c r="I70" s="34" cm="1">
        <f t="array" ref="I70">IF(ISBLANK(H70),"",IF(H70,2,IF(G70,1,3)))</f>
        <v>1</v>
      </c>
      <c r="J70" t="str" s="7" cm="1">
        <f t="array" ref="J70">IF(ISBLANK(H70),"",IF(H70,"HER2pos",IF(G70,"HRposHER2neg","TripleNeg")))</f>
        <v>HRposHER2neg</v>
      </c>
      <c r="K70" s="37">
        <v>0</v>
      </c>
      <c r="L70" s="37">
        <v>2</v>
      </c>
      <c r="M70" s="34">
        <v>153</v>
      </c>
      <c r="N70" s="34">
        <v>139</v>
      </c>
      <c r="O70" s="34">
        <v>114</v>
      </c>
      <c r="P70" s="34">
        <v>5</v>
      </c>
    </row>
    <row r="71" ht="13.65" customHeight="1">
      <c r="A71" s="34">
        <v>1075</v>
      </c>
      <c r="B71" s="35">
        <v>40059</v>
      </c>
      <c r="C71" s="36">
        <v>33.47</v>
      </c>
      <c r="D71" s="37">
        <v>1</v>
      </c>
      <c r="E71" s="37">
        <v>0</v>
      </c>
      <c r="F71" s="37">
        <v>0</v>
      </c>
      <c r="G71" s="37">
        <v>0</v>
      </c>
      <c r="H71" s="34">
        <v>0</v>
      </c>
      <c r="I71" s="34" cm="1">
        <f t="array" ref="I71">IF(ISBLANK(H71),"",IF(H71,2,IF(G71,1,3)))</f>
        <v>3</v>
      </c>
      <c r="J71" t="str" s="7" cm="1">
        <f t="array" ref="J71">IF(ISBLANK(H71),"",IF(H71,"HER2pos",IF(G71,"HRposHER2neg","TripleNeg")))</f>
        <v>TripleNeg</v>
      </c>
      <c r="K71" s="37">
        <v>0</v>
      </c>
      <c r="L71" s="37">
        <v>2</v>
      </c>
      <c r="M71" s="34">
        <v>54</v>
      </c>
      <c r="N71" s="34">
        <v>27</v>
      </c>
      <c r="O71" s="34">
        <v>6</v>
      </c>
      <c r="P71" s="34">
        <v>0</v>
      </c>
    </row>
    <row r="72" ht="13.65" customHeight="1">
      <c r="A72" s="34">
        <v>1077</v>
      </c>
      <c r="B72" s="35">
        <v>40059</v>
      </c>
      <c r="C72" s="36">
        <v>41.65</v>
      </c>
      <c r="D72" s="37">
        <v>1</v>
      </c>
      <c r="E72" s="37">
        <v>1</v>
      </c>
      <c r="F72" s="37">
        <v>1</v>
      </c>
      <c r="G72" s="37">
        <v>1</v>
      </c>
      <c r="H72" s="34">
        <v>1</v>
      </c>
      <c r="I72" s="34" cm="1">
        <f t="array" ref="I72">IF(ISBLANK(H72),"",IF(H72,2,IF(G72,1,3)))</f>
        <v>2</v>
      </c>
      <c r="J72" t="str" s="7" cm="1">
        <f t="array" ref="J72">IF(ISBLANK(H72),"",IF(H72,"HER2pos",IF(G72,"HRposHER2neg","TripleNeg")))</f>
        <v>HER2pos</v>
      </c>
      <c r="K72" s="37">
        <v>0</v>
      </c>
      <c r="L72" s="37">
        <v>1</v>
      </c>
      <c r="M72" s="34">
        <v>51</v>
      </c>
      <c r="N72" s="34">
        <v>39</v>
      </c>
      <c r="O72" s="34">
        <v>16</v>
      </c>
      <c r="P72" s="34">
        <v>15</v>
      </c>
    </row>
    <row r="73" ht="13.65" customHeight="1">
      <c r="A73" s="34">
        <v>1078</v>
      </c>
      <c r="B73" s="35">
        <v>40059</v>
      </c>
      <c r="C73" s="36">
        <v>31.33</v>
      </c>
      <c r="D73" s="37">
        <v>5</v>
      </c>
      <c r="E73" s="37">
        <v>1</v>
      </c>
      <c r="F73" s="37">
        <v>1</v>
      </c>
      <c r="G73" s="37">
        <v>1</v>
      </c>
      <c r="H73" s="34">
        <v>0</v>
      </c>
      <c r="I73" s="34" cm="1">
        <f t="array" ref="I73">IF(ISBLANK(H73),"",IF(H73,2,IF(G73,1,3)))</f>
        <v>1</v>
      </c>
      <c r="J73" t="str" s="7" cm="1">
        <f t="array" ref="J73">IF(ISBLANK(H73),"",IF(H73,"HER2pos",IF(G73,"HRposHER2neg","TripleNeg")))</f>
        <v>HRposHER2neg</v>
      </c>
      <c r="K73" s="37">
        <v>0</v>
      </c>
      <c r="L73" s="37">
        <v>1</v>
      </c>
      <c r="M73" s="34">
        <v>86</v>
      </c>
      <c r="N73" s="34">
        <v>88</v>
      </c>
      <c r="O73" s="34">
        <v>88</v>
      </c>
      <c r="P73" s="34">
        <v>86</v>
      </c>
    </row>
    <row r="74" ht="13.65" customHeight="1">
      <c r="A74" s="34">
        <v>1081</v>
      </c>
      <c r="B74" s="35">
        <v>40059</v>
      </c>
      <c r="C74" s="36">
        <v>64.09</v>
      </c>
      <c r="D74" s="37">
        <v>50</v>
      </c>
      <c r="E74" s="37">
        <v>0</v>
      </c>
      <c r="F74" s="37">
        <v>1</v>
      </c>
      <c r="G74" s="37">
        <v>1</v>
      </c>
      <c r="H74" s="34">
        <v>0</v>
      </c>
      <c r="I74" s="34" cm="1">
        <f t="array" ref="I74">IF(ISBLANK(H74),"",IF(H74,2,IF(G74,1,3)))</f>
        <v>1</v>
      </c>
      <c r="J74" t="str" s="7" cm="1">
        <f t="array" ref="J74">IF(ISBLANK(H74),"",IF(H74,"HER2pos",IF(G74,"HRposHER2neg","TripleNeg")))</f>
        <v>HRposHER2neg</v>
      </c>
      <c r="K74" s="37">
        <v>0</v>
      </c>
      <c r="L74" s="37">
        <v>2</v>
      </c>
      <c r="M74" s="34">
        <v>56</v>
      </c>
      <c r="N74" s="34">
        <v>47</v>
      </c>
      <c r="O74" s="7"/>
      <c r="P74" s="34">
        <v>38</v>
      </c>
    </row>
    <row r="75" ht="13.65" customHeight="1">
      <c r="A75" s="34">
        <v>1082</v>
      </c>
      <c r="B75" s="35">
        <v>40059</v>
      </c>
      <c r="C75" s="36">
        <v>46.58</v>
      </c>
      <c r="D75" s="37">
        <v>1</v>
      </c>
      <c r="E75" s="37">
        <v>1</v>
      </c>
      <c r="F75" s="37">
        <v>1</v>
      </c>
      <c r="G75" s="37">
        <v>1</v>
      </c>
      <c r="H75" s="34">
        <v>1</v>
      </c>
      <c r="I75" s="34" cm="1">
        <f t="array" ref="I75">IF(ISBLANK(H75),"",IF(H75,2,IF(G75,1,3)))</f>
        <v>2</v>
      </c>
      <c r="J75" t="str" s="7" cm="1">
        <f t="array" ref="J75">IF(ISBLANK(H75),"",IF(H75,"HER2pos",IF(G75,"HRposHER2neg","TripleNeg")))</f>
        <v>HER2pos</v>
      </c>
      <c r="K75" s="37">
        <v>0</v>
      </c>
      <c r="L75" s="37">
        <v>1</v>
      </c>
      <c r="M75" s="34">
        <v>87</v>
      </c>
      <c r="N75" s="34">
        <v>87</v>
      </c>
      <c r="O75" s="34">
        <v>50</v>
      </c>
      <c r="P75" s="34">
        <v>45</v>
      </c>
    </row>
    <row r="76" ht="13.65" customHeight="1">
      <c r="A76" s="34">
        <v>1083</v>
      </c>
      <c r="B76" s="35">
        <v>40059</v>
      </c>
      <c r="C76" s="36">
        <v>51.89</v>
      </c>
      <c r="D76" s="37">
        <v>1</v>
      </c>
      <c r="E76" s="37">
        <v>1</v>
      </c>
      <c r="F76" s="37">
        <v>0</v>
      </c>
      <c r="G76" s="37">
        <v>1</v>
      </c>
      <c r="H76" s="34">
        <v>1</v>
      </c>
      <c r="I76" s="34" cm="1">
        <f t="array" ref="I76">IF(ISBLANK(H76),"",IF(H76,2,IF(G76,1,3)))</f>
        <v>2</v>
      </c>
      <c r="J76" t="str" s="7" cm="1">
        <f t="array" ref="J76">IF(ISBLANK(H76),"",IF(H76,"HER2pos",IF(G76,"HRposHER2neg","TripleNeg")))</f>
        <v>HER2pos</v>
      </c>
      <c r="K76" s="37">
        <v>0</v>
      </c>
      <c r="L76" s="37">
        <v>1</v>
      </c>
      <c r="M76" s="34">
        <v>90</v>
      </c>
      <c r="N76" s="34">
        <v>88</v>
      </c>
      <c r="O76" s="34">
        <v>62</v>
      </c>
      <c r="P76" s="34">
        <v>0</v>
      </c>
    </row>
    <row r="77" ht="13.65" customHeight="1">
      <c r="A77" s="34">
        <v>1084</v>
      </c>
      <c r="B77" s="35">
        <v>40059</v>
      </c>
      <c r="C77" s="36">
        <v>34.53</v>
      </c>
      <c r="D77" s="37">
        <v>1</v>
      </c>
      <c r="E77" s="37">
        <v>1</v>
      </c>
      <c r="F77" s="37">
        <v>0</v>
      </c>
      <c r="G77" s="37">
        <v>1</v>
      </c>
      <c r="H77" s="34">
        <v>1</v>
      </c>
      <c r="I77" s="34" cm="1">
        <f t="array" ref="I77">IF(ISBLANK(H77),"",IF(H77,2,IF(G77,1,3)))</f>
        <v>2</v>
      </c>
      <c r="J77" t="str" s="7" cm="1">
        <f t="array" ref="J77">IF(ISBLANK(H77),"",IF(H77,"HER2pos",IF(G77,"HRposHER2neg","TripleNeg")))</f>
        <v>HER2pos</v>
      </c>
      <c r="K77" s="37">
        <v>0</v>
      </c>
      <c r="L77" s="37">
        <v>1</v>
      </c>
      <c r="M77" s="34">
        <v>111</v>
      </c>
      <c r="N77" s="34">
        <v>120</v>
      </c>
      <c r="O77" s="34">
        <v>31</v>
      </c>
      <c r="P77" s="34">
        <v>24</v>
      </c>
    </row>
    <row r="78" ht="13.65" customHeight="1">
      <c r="A78" s="34">
        <v>1085</v>
      </c>
      <c r="B78" s="35">
        <v>40059</v>
      </c>
      <c r="C78" s="36">
        <v>43.93</v>
      </c>
      <c r="D78" s="37">
        <v>1</v>
      </c>
      <c r="E78" s="37">
        <v>1</v>
      </c>
      <c r="F78" s="37">
        <v>1</v>
      </c>
      <c r="G78" s="37">
        <v>1</v>
      </c>
      <c r="H78" s="34">
        <v>0</v>
      </c>
      <c r="I78" s="34" cm="1">
        <f t="array" ref="I78">IF(ISBLANK(H78),"",IF(H78,2,IF(G78,1,3)))</f>
        <v>1</v>
      </c>
      <c r="J78" t="str" s="7" cm="1">
        <f t="array" ref="J78">IF(ISBLANK(H78),"",IF(H78,"HER2pos",IF(G78,"HRposHER2neg","TripleNeg")))</f>
        <v>HRposHER2neg</v>
      </c>
      <c r="K78" s="37">
        <v>0</v>
      </c>
      <c r="L78" s="37">
        <v>1</v>
      </c>
      <c r="M78" s="34">
        <v>90</v>
      </c>
      <c r="N78" s="34">
        <v>63</v>
      </c>
      <c r="O78" s="34">
        <v>25</v>
      </c>
      <c r="P78" s="34">
        <v>29</v>
      </c>
    </row>
    <row r="79" ht="13.65" customHeight="1">
      <c r="A79" s="34">
        <v>1086</v>
      </c>
      <c r="B79" s="35">
        <v>40059</v>
      </c>
      <c r="C79" s="36">
        <v>41.51</v>
      </c>
      <c r="D79" s="37">
        <v>3</v>
      </c>
      <c r="E79" s="37">
        <v>1</v>
      </c>
      <c r="F79" s="37">
        <v>1</v>
      </c>
      <c r="G79" s="37">
        <v>1</v>
      </c>
      <c r="H79" s="34">
        <v>1</v>
      </c>
      <c r="I79" s="34" cm="1">
        <f t="array" ref="I79">IF(ISBLANK(H79),"",IF(H79,2,IF(G79,1,3)))</f>
        <v>2</v>
      </c>
      <c r="J79" t="str" s="7" cm="1">
        <f t="array" ref="J79">IF(ISBLANK(H79),"",IF(H79,"HER2pos",IF(G79,"HRposHER2neg","TripleNeg")))</f>
        <v>HER2pos</v>
      </c>
      <c r="K79" s="37">
        <v>0</v>
      </c>
      <c r="L79" s="37">
        <v>1</v>
      </c>
      <c r="M79" s="34">
        <v>69</v>
      </c>
      <c r="N79" s="34">
        <v>66</v>
      </c>
      <c r="O79" s="34">
        <v>37</v>
      </c>
      <c r="P79" s="34">
        <v>25</v>
      </c>
    </row>
    <row r="80" ht="13.65" customHeight="1">
      <c r="A80" s="34">
        <v>1087</v>
      </c>
      <c r="B80" s="35">
        <v>40059</v>
      </c>
      <c r="C80" s="36">
        <v>43.01</v>
      </c>
      <c r="D80" s="37">
        <v>1</v>
      </c>
      <c r="E80" s="37">
        <v>0</v>
      </c>
      <c r="F80" s="37">
        <v>0</v>
      </c>
      <c r="G80" s="37">
        <v>0</v>
      </c>
      <c r="H80" s="34">
        <v>1</v>
      </c>
      <c r="I80" s="34" cm="1">
        <f t="array" ref="I80">IF(ISBLANK(H80),"",IF(H80,2,IF(G80,1,3)))</f>
        <v>2</v>
      </c>
      <c r="J80" t="str" s="7" cm="1">
        <f t="array" ref="J80">IF(ISBLANK(H80),"",IF(H80,"HER2pos",IF(G80,"HRposHER2neg","TripleNeg")))</f>
        <v>HER2pos</v>
      </c>
      <c r="K80" s="37">
        <v>0</v>
      </c>
      <c r="L80" s="37">
        <v>2</v>
      </c>
      <c r="M80" s="34">
        <v>58</v>
      </c>
      <c r="N80" s="34">
        <v>42</v>
      </c>
      <c r="O80" s="7"/>
      <c r="P80" s="34">
        <v>0</v>
      </c>
    </row>
    <row r="81" ht="13.65" customHeight="1">
      <c r="A81" s="34">
        <v>1088</v>
      </c>
      <c r="B81" s="35">
        <v>40059</v>
      </c>
      <c r="C81" s="36">
        <v>53.05</v>
      </c>
      <c r="D81" s="37">
        <v>1</v>
      </c>
      <c r="E81" s="37">
        <v>1</v>
      </c>
      <c r="F81" s="37">
        <v>1</v>
      </c>
      <c r="G81" s="37">
        <v>1</v>
      </c>
      <c r="H81" s="34">
        <v>0</v>
      </c>
      <c r="I81" s="34" cm="1">
        <f t="array" ref="I81">IF(ISBLANK(H81),"",IF(H81,2,IF(G81,1,3)))</f>
        <v>1</v>
      </c>
      <c r="J81" t="str" s="7" cm="1">
        <f t="array" ref="J81">IF(ISBLANK(H81),"",IF(H81,"HER2pos",IF(G81,"HRposHER2neg","TripleNeg")))</f>
        <v>HRposHER2neg</v>
      </c>
      <c r="K81" s="37">
        <v>0</v>
      </c>
      <c r="L81" s="37">
        <v>1</v>
      </c>
      <c r="M81" s="34">
        <v>77</v>
      </c>
      <c r="N81" s="34">
        <v>87</v>
      </c>
      <c r="O81" s="34">
        <v>43</v>
      </c>
      <c r="P81" s="34">
        <v>0</v>
      </c>
    </row>
    <row r="82" ht="13.65" customHeight="1">
      <c r="A82" s="34">
        <v>1089</v>
      </c>
      <c r="B82" s="35">
        <v>40059</v>
      </c>
      <c r="C82" s="36">
        <v>60.95</v>
      </c>
      <c r="D82" s="37">
        <v>3</v>
      </c>
      <c r="E82" s="37">
        <v>1</v>
      </c>
      <c r="F82" s="37">
        <v>1</v>
      </c>
      <c r="G82" s="37">
        <v>1</v>
      </c>
      <c r="H82" s="34">
        <v>0</v>
      </c>
      <c r="I82" s="34" cm="1">
        <f t="array" ref="I82">IF(ISBLANK(H82),"",IF(H82,2,IF(G82,1,3)))</f>
        <v>1</v>
      </c>
      <c r="J82" t="str" s="7" cm="1">
        <f t="array" ref="J82">IF(ISBLANK(H82),"",IF(H82,"HER2pos",IF(G82,"HRposHER2neg","TripleNeg")))</f>
        <v>HRposHER2neg</v>
      </c>
      <c r="K82" s="37">
        <v>0</v>
      </c>
      <c r="L82" s="37">
        <v>2</v>
      </c>
      <c r="M82" s="34">
        <v>90</v>
      </c>
      <c r="N82" s="34">
        <v>89</v>
      </c>
      <c r="O82" s="34">
        <v>60</v>
      </c>
      <c r="P82" s="34">
        <v>60</v>
      </c>
    </row>
    <row r="83" ht="13.65" customHeight="1">
      <c r="A83" s="34">
        <v>1090</v>
      </c>
      <c r="B83" s="35">
        <v>40059</v>
      </c>
      <c r="C83" s="36">
        <v>51.54</v>
      </c>
      <c r="D83" s="37">
        <v>1</v>
      </c>
      <c r="E83" s="37">
        <v>1</v>
      </c>
      <c r="F83" s="37">
        <v>1</v>
      </c>
      <c r="G83" s="37">
        <v>1</v>
      </c>
      <c r="H83" s="34">
        <v>1</v>
      </c>
      <c r="I83" s="34" cm="1">
        <f t="array" ref="I83">IF(ISBLANK(H83),"",IF(H83,2,IF(G83,1,3)))</f>
        <v>2</v>
      </c>
      <c r="J83" t="str" s="7" cm="1">
        <f t="array" ref="J83">IF(ISBLANK(H83),"",IF(H83,"HER2pos",IF(G83,"HRposHER2neg","TripleNeg")))</f>
        <v>HER2pos</v>
      </c>
      <c r="K83" s="37">
        <v>0</v>
      </c>
      <c r="L83" s="37">
        <v>1</v>
      </c>
      <c r="M83" s="34">
        <v>64</v>
      </c>
      <c r="N83" s="34">
        <v>62</v>
      </c>
      <c r="O83" s="34">
        <v>48</v>
      </c>
      <c r="P83" s="34">
        <v>52</v>
      </c>
    </row>
    <row r="84" ht="13.65" customHeight="1">
      <c r="A84" s="34">
        <v>1091</v>
      </c>
      <c r="B84" s="35">
        <v>40059</v>
      </c>
      <c r="C84" s="36">
        <v>54.64</v>
      </c>
      <c r="D84" s="37">
        <v>4</v>
      </c>
      <c r="E84" s="37">
        <v>0</v>
      </c>
      <c r="F84" s="37">
        <v>0</v>
      </c>
      <c r="G84" s="37">
        <v>0</v>
      </c>
      <c r="H84" s="34">
        <v>1</v>
      </c>
      <c r="I84" s="34" cm="1">
        <f t="array" ref="I84">IF(ISBLANK(H84),"",IF(H84,2,IF(G84,1,3)))</f>
        <v>2</v>
      </c>
      <c r="J84" t="str" s="7" cm="1">
        <f t="array" ref="J84">IF(ISBLANK(H84),"",IF(H84,"HER2pos",IF(G84,"HRposHER2neg","TripleNeg")))</f>
        <v>HER2pos</v>
      </c>
      <c r="K84" s="37">
        <v>0</v>
      </c>
      <c r="L84" s="37">
        <v>1</v>
      </c>
      <c r="M84" s="34">
        <v>70</v>
      </c>
      <c r="N84" s="34">
        <v>62</v>
      </c>
      <c r="O84" s="34">
        <v>54</v>
      </c>
      <c r="P84" s="34">
        <v>53</v>
      </c>
    </row>
    <row r="85" ht="13.65" customHeight="1">
      <c r="A85" s="34">
        <v>1092</v>
      </c>
      <c r="B85" s="35">
        <v>40059</v>
      </c>
      <c r="C85" s="36">
        <v>44.13</v>
      </c>
      <c r="D85" s="37">
        <v>1</v>
      </c>
      <c r="E85" s="37">
        <v>1</v>
      </c>
      <c r="F85" s="37">
        <v>1</v>
      </c>
      <c r="G85" s="37">
        <v>1</v>
      </c>
      <c r="H85" s="34">
        <v>0</v>
      </c>
      <c r="I85" s="34" cm="1">
        <f t="array" ref="I85">IF(ISBLANK(H85),"",IF(H85,2,IF(G85,1,3)))</f>
        <v>1</v>
      </c>
      <c r="J85" t="str" s="7" cm="1">
        <f t="array" ref="J85">IF(ISBLANK(H85),"",IF(H85,"HER2pos",IF(G85,"HRposHER2neg","TripleNeg")))</f>
        <v>HRposHER2neg</v>
      </c>
      <c r="K85" s="37">
        <v>0</v>
      </c>
      <c r="L85" s="37">
        <v>2</v>
      </c>
      <c r="M85" s="34">
        <v>82</v>
      </c>
      <c r="N85" s="34">
        <v>88</v>
      </c>
      <c r="O85" s="34">
        <v>43</v>
      </c>
      <c r="P85" s="34">
        <v>0</v>
      </c>
    </row>
    <row r="86" ht="13.65" customHeight="1">
      <c r="A86" s="34">
        <v>1093</v>
      </c>
      <c r="B86" s="35">
        <v>40059</v>
      </c>
      <c r="C86" s="36">
        <v>55.46</v>
      </c>
      <c r="D86" s="37">
        <v>1</v>
      </c>
      <c r="E86" s="37">
        <v>0</v>
      </c>
      <c r="F86" s="37">
        <v>0</v>
      </c>
      <c r="G86" s="37">
        <v>0</v>
      </c>
      <c r="H86" s="34">
        <v>1</v>
      </c>
      <c r="I86" s="34" cm="1">
        <f t="array" ref="I86">IF(ISBLANK(H86),"",IF(H86,2,IF(G86,1,3)))</f>
        <v>2</v>
      </c>
      <c r="J86" t="str" s="7" cm="1">
        <f t="array" ref="J86">IF(ISBLANK(H86),"",IF(H86,"HER2pos",IF(G86,"HRposHER2neg","TripleNeg")))</f>
        <v>HER2pos</v>
      </c>
      <c r="K86" s="37">
        <v>0</v>
      </c>
      <c r="L86" s="37">
        <v>2</v>
      </c>
      <c r="M86" s="7"/>
      <c r="N86" s="7"/>
      <c r="O86" s="7"/>
      <c r="P86" s="7"/>
    </row>
    <row r="87" ht="13.65" customHeight="1">
      <c r="A87" s="34">
        <v>1094</v>
      </c>
      <c r="B87" s="35">
        <v>40059</v>
      </c>
      <c r="C87" s="36">
        <v>49.95</v>
      </c>
      <c r="D87" s="37">
        <v>1</v>
      </c>
      <c r="E87" s="37">
        <v>1</v>
      </c>
      <c r="F87" s="37">
        <v>1</v>
      </c>
      <c r="G87" s="37">
        <v>1</v>
      </c>
      <c r="H87" s="34">
        <v>0</v>
      </c>
      <c r="I87" s="34" cm="1">
        <f t="array" ref="I87">IF(ISBLANK(H87),"",IF(H87,2,IF(G87,1,3)))</f>
        <v>1</v>
      </c>
      <c r="J87" t="str" s="7" cm="1">
        <f t="array" ref="J87">IF(ISBLANK(H87),"",IF(H87,"HER2pos",IF(G87,"HRposHER2neg","TripleNeg")))</f>
        <v>HRposHER2neg</v>
      </c>
      <c r="K87" s="37">
        <v>0</v>
      </c>
      <c r="L87" s="37">
        <v>2</v>
      </c>
      <c r="M87" s="34">
        <v>91</v>
      </c>
      <c r="N87" s="7"/>
      <c r="O87" s="34">
        <v>61</v>
      </c>
      <c r="P87" s="34">
        <v>55</v>
      </c>
    </row>
    <row r="88" ht="13.65" customHeight="1">
      <c r="A88" s="34">
        <v>1095</v>
      </c>
      <c r="B88" s="35">
        <v>40059</v>
      </c>
      <c r="C88" s="36">
        <v>43.57</v>
      </c>
      <c r="D88" s="37">
        <v>1</v>
      </c>
      <c r="E88" s="37">
        <v>1</v>
      </c>
      <c r="F88" s="37">
        <v>1</v>
      </c>
      <c r="G88" s="37">
        <v>1</v>
      </c>
      <c r="H88" s="34">
        <v>0</v>
      </c>
      <c r="I88" s="34" cm="1">
        <f t="array" ref="I88">IF(ISBLANK(H88),"",IF(H88,2,IF(G88,1,3)))</f>
        <v>1</v>
      </c>
      <c r="J88" t="str" s="7" cm="1">
        <f t="array" ref="J88">IF(ISBLANK(H88),"",IF(H88,"HER2pos",IF(G88,"HRposHER2neg","TripleNeg")))</f>
        <v>HRposHER2neg</v>
      </c>
      <c r="K88" s="37">
        <v>0</v>
      </c>
      <c r="L88" s="37">
        <v>2</v>
      </c>
      <c r="M88" s="34">
        <v>76</v>
      </c>
      <c r="N88" s="34">
        <v>67</v>
      </c>
      <c r="O88" s="34">
        <v>56</v>
      </c>
      <c r="P88" s="34">
        <v>54</v>
      </c>
    </row>
    <row r="89" ht="13.65" customHeight="1">
      <c r="A89" s="34">
        <v>1096</v>
      </c>
      <c r="B89" s="35">
        <v>40059</v>
      </c>
      <c r="C89" s="36">
        <v>42.99</v>
      </c>
      <c r="D89" s="37">
        <v>1</v>
      </c>
      <c r="E89" s="37">
        <v>0</v>
      </c>
      <c r="F89" s="37">
        <v>0</v>
      </c>
      <c r="G89" s="37">
        <v>0</v>
      </c>
      <c r="H89" s="34">
        <v>1</v>
      </c>
      <c r="I89" s="34" cm="1">
        <f t="array" ref="I89">IF(ISBLANK(H89),"",IF(H89,2,IF(G89,1,3)))</f>
        <v>2</v>
      </c>
      <c r="J89" t="str" s="7" cm="1">
        <f t="array" ref="J89">IF(ISBLANK(H89),"",IF(H89,"HER2pos",IF(G89,"HRposHER2neg","TripleNeg")))</f>
        <v>HER2pos</v>
      </c>
      <c r="K89" s="37">
        <v>0</v>
      </c>
      <c r="L89" s="37">
        <v>2</v>
      </c>
      <c r="M89" s="34">
        <v>44</v>
      </c>
      <c r="N89" s="34">
        <v>36</v>
      </c>
      <c r="O89" s="34">
        <v>27</v>
      </c>
      <c r="P89" s="34">
        <v>1</v>
      </c>
    </row>
    <row r="90" ht="13.65" customHeight="1">
      <c r="A90" s="34">
        <v>1097</v>
      </c>
      <c r="B90" s="35">
        <v>40059</v>
      </c>
      <c r="C90" s="36">
        <v>44.5</v>
      </c>
      <c r="D90" s="37">
        <v>1</v>
      </c>
      <c r="E90" s="37">
        <v>0</v>
      </c>
      <c r="F90" s="37">
        <v>0</v>
      </c>
      <c r="G90" s="37">
        <v>0</v>
      </c>
      <c r="H90" s="34">
        <v>0</v>
      </c>
      <c r="I90" s="34" cm="1">
        <f t="array" ref="I90">IF(ISBLANK(H90),"",IF(H90,2,IF(G90,1,3)))</f>
        <v>3</v>
      </c>
      <c r="J90" t="str" s="7" cm="1">
        <f t="array" ref="J90">IF(ISBLANK(H90),"",IF(H90,"HER2pos",IF(G90,"HRposHER2neg","TripleNeg")))</f>
        <v>TripleNeg</v>
      </c>
      <c r="K90" s="37">
        <v>0</v>
      </c>
      <c r="L90" s="37">
        <v>1</v>
      </c>
      <c r="M90" s="34">
        <v>70</v>
      </c>
      <c r="N90" s="34">
        <v>34</v>
      </c>
      <c r="O90" s="34">
        <v>11</v>
      </c>
      <c r="P90" s="34">
        <v>8</v>
      </c>
    </row>
    <row r="91" ht="13.65" customHeight="1">
      <c r="A91" s="34">
        <v>1098</v>
      </c>
      <c r="B91" s="35">
        <v>40059</v>
      </c>
      <c r="C91" s="36">
        <v>62.29</v>
      </c>
      <c r="D91" s="37">
        <v>1</v>
      </c>
      <c r="E91" s="37">
        <v>1</v>
      </c>
      <c r="F91" s="37">
        <v>0</v>
      </c>
      <c r="G91" s="37">
        <v>1</v>
      </c>
      <c r="H91" s="34">
        <v>1</v>
      </c>
      <c r="I91" s="34" cm="1">
        <f t="array" ref="I91">IF(ISBLANK(H91),"",IF(H91,2,IF(G91,1,3)))</f>
        <v>2</v>
      </c>
      <c r="J91" t="str" s="7" cm="1">
        <f t="array" ref="J91">IF(ISBLANK(H91),"",IF(H91,"HER2pos",IF(G91,"HRposHER2neg","TripleNeg")))</f>
        <v>HER2pos</v>
      </c>
      <c r="K91" s="37">
        <v>0</v>
      </c>
      <c r="L91" s="37">
        <v>2</v>
      </c>
      <c r="M91" s="34">
        <v>60</v>
      </c>
      <c r="N91" s="34">
        <v>52</v>
      </c>
      <c r="O91" s="34">
        <v>32</v>
      </c>
      <c r="P91" s="34">
        <v>0</v>
      </c>
    </row>
    <row r="92" ht="13.65" customHeight="1">
      <c r="A92" s="34">
        <v>1099</v>
      </c>
      <c r="B92" s="35">
        <v>40059</v>
      </c>
      <c r="C92" s="36">
        <v>50.35</v>
      </c>
      <c r="D92" s="37">
        <v>1</v>
      </c>
      <c r="E92" s="37">
        <v>0</v>
      </c>
      <c r="F92" s="37">
        <v>0</v>
      </c>
      <c r="G92" s="37">
        <v>0</v>
      </c>
      <c r="H92" s="34">
        <v>0</v>
      </c>
      <c r="I92" s="34" cm="1">
        <f t="array" ref="I92">IF(ISBLANK(H92),"",IF(H92,2,IF(G92,1,3)))</f>
        <v>3</v>
      </c>
      <c r="J92" t="str" s="7" cm="1">
        <f t="array" ref="J92">IF(ISBLANK(H92),"",IF(H92,"HER2pos",IF(G92,"HRposHER2neg","TripleNeg")))</f>
        <v>TripleNeg</v>
      </c>
      <c r="K92" s="37">
        <v>0</v>
      </c>
      <c r="L92" s="37">
        <v>1</v>
      </c>
      <c r="M92" s="34">
        <v>69</v>
      </c>
      <c r="N92" s="34">
        <v>52</v>
      </c>
      <c r="O92" s="34">
        <v>31</v>
      </c>
      <c r="P92" s="34">
        <v>6</v>
      </c>
    </row>
    <row r="93" ht="13.65" customHeight="1">
      <c r="A93" s="34">
        <v>1100</v>
      </c>
      <c r="B93" s="35">
        <v>40059</v>
      </c>
      <c r="C93" s="36">
        <v>63.32</v>
      </c>
      <c r="D93" s="37">
        <v>1</v>
      </c>
      <c r="E93" s="37">
        <v>1</v>
      </c>
      <c r="F93" s="37">
        <v>0</v>
      </c>
      <c r="G93" s="37">
        <v>1</v>
      </c>
      <c r="H93" s="34">
        <v>0</v>
      </c>
      <c r="I93" s="34" cm="1">
        <f t="array" ref="I93">IF(ISBLANK(H93),"",IF(H93,2,IF(G93,1,3)))</f>
        <v>1</v>
      </c>
      <c r="J93" t="str" s="7" cm="1">
        <f t="array" ref="J93">IF(ISBLANK(H93),"",IF(H93,"HER2pos",IF(G93,"HRposHER2neg","TripleNeg")))</f>
        <v>HRposHER2neg</v>
      </c>
      <c r="K93" s="37">
        <v>0</v>
      </c>
      <c r="L93" s="37">
        <v>1</v>
      </c>
      <c r="M93" s="34">
        <v>36</v>
      </c>
      <c r="N93" s="34">
        <v>31</v>
      </c>
      <c r="O93" s="34">
        <v>20</v>
      </c>
      <c r="P93" s="34">
        <v>15</v>
      </c>
    </row>
    <row r="94" ht="13.65" customHeight="1">
      <c r="A94" s="34">
        <v>1101</v>
      </c>
      <c r="B94" s="35">
        <v>40059</v>
      </c>
      <c r="C94" s="36">
        <v>42.84</v>
      </c>
      <c r="D94" s="37">
        <v>3</v>
      </c>
      <c r="E94" s="37">
        <v>0</v>
      </c>
      <c r="F94" s="37">
        <v>0</v>
      </c>
      <c r="G94" s="37">
        <v>0</v>
      </c>
      <c r="H94" s="34">
        <v>1</v>
      </c>
      <c r="I94" s="34" cm="1">
        <f t="array" ref="I94">IF(ISBLANK(H94),"",IF(H94,2,IF(G94,1,3)))</f>
        <v>2</v>
      </c>
      <c r="J94" t="str" s="7" cm="1">
        <f t="array" ref="J94">IF(ISBLANK(H94),"",IF(H94,"HER2pos",IF(G94,"HRposHER2neg","TripleNeg")))</f>
        <v>HER2pos</v>
      </c>
      <c r="K94" s="37">
        <v>0</v>
      </c>
      <c r="L94" s="37">
        <v>2</v>
      </c>
      <c r="M94" s="34">
        <v>89</v>
      </c>
      <c r="N94" s="34">
        <v>38</v>
      </c>
      <c r="O94" s="34">
        <v>91</v>
      </c>
      <c r="P94" s="34">
        <v>80</v>
      </c>
    </row>
    <row r="95" ht="13.65" customHeight="1">
      <c r="A95" s="34">
        <v>1102</v>
      </c>
      <c r="B95" s="35">
        <v>40059</v>
      </c>
      <c r="C95" s="36">
        <v>57.46</v>
      </c>
      <c r="D95" s="37">
        <v>3</v>
      </c>
      <c r="E95" s="37">
        <v>1</v>
      </c>
      <c r="F95" s="37">
        <v>0</v>
      </c>
      <c r="G95" s="37">
        <v>1</v>
      </c>
      <c r="H95" s="34">
        <v>1</v>
      </c>
      <c r="I95" s="34" cm="1">
        <f t="array" ref="I95">IF(ISBLANK(H95),"",IF(H95,2,IF(G95,1,3)))</f>
        <v>2</v>
      </c>
      <c r="J95" t="str" s="7" cm="1">
        <f t="array" ref="J95">IF(ISBLANK(H95),"",IF(H95,"HER2pos",IF(G95,"HRposHER2neg","TripleNeg")))</f>
        <v>HER2pos</v>
      </c>
      <c r="K95" s="37">
        <v>0</v>
      </c>
      <c r="L95" s="37">
        <v>2</v>
      </c>
      <c r="M95" s="34">
        <v>113</v>
      </c>
      <c r="N95" s="34">
        <v>126</v>
      </c>
      <c r="O95" s="34">
        <v>121</v>
      </c>
      <c r="P95" s="34">
        <v>110</v>
      </c>
    </row>
    <row r="96" ht="13.65" customHeight="1">
      <c r="A96" s="34">
        <v>1103</v>
      </c>
      <c r="B96" s="35">
        <v>40059</v>
      </c>
      <c r="C96" s="36">
        <v>50.15</v>
      </c>
      <c r="D96" s="37">
        <v>1</v>
      </c>
      <c r="E96" s="37">
        <v>0</v>
      </c>
      <c r="F96" s="37">
        <v>0</v>
      </c>
      <c r="G96" s="37">
        <v>0</v>
      </c>
      <c r="H96" s="34">
        <v>1</v>
      </c>
      <c r="I96" s="34" cm="1">
        <f t="array" ref="I96">IF(ISBLANK(H96),"",IF(H96,2,IF(G96,1,3)))</f>
        <v>2</v>
      </c>
      <c r="J96" t="str" s="7" cm="1">
        <f t="array" ref="J96">IF(ISBLANK(H96),"",IF(H96,"HER2pos",IF(G96,"HRposHER2neg","TripleNeg")))</f>
        <v>HER2pos</v>
      </c>
      <c r="K96" s="37">
        <v>0</v>
      </c>
      <c r="L96" s="37">
        <v>1</v>
      </c>
      <c r="M96" s="34">
        <v>100</v>
      </c>
      <c r="N96" s="34">
        <v>100</v>
      </c>
      <c r="O96" s="34">
        <v>26</v>
      </c>
      <c r="P96" s="34">
        <v>17</v>
      </c>
    </row>
    <row r="97" ht="13.65" customHeight="1">
      <c r="A97" s="34">
        <v>1104</v>
      </c>
      <c r="B97" s="35">
        <v>40059</v>
      </c>
      <c r="C97" s="36">
        <v>51.18</v>
      </c>
      <c r="D97" s="37">
        <v>3</v>
      </c>
      <c r="E97" s="37">
        <v>0</v>
      </c>
      <c r="F97" s="37">
        <v>0</v>
      </c>
      <c r="G97" s="37">
        <v>0</v>
      </c>
      <c r="H97" s="34">
        <v>1</v>
      </c>
      <c r="I97" s="34" cm="1">
        <f t="array" ref="I97">IF(ISBLANK(H97),"",IF(H97,2,IF(G97,1,3)))</f>
        <v>2</v>
      </c>
      <c r="J97" t="str" s="7" cm="1">
        <f t="array" ref="J97">IF(ISBLANK(H97),"",IF(H97,"HER2pos",IF(G97,"HRposHER2neg","TripleNeg")))</f>
        <v>HER2pos</v>
      </c>
      <c r="K97" s="37">
        <v>0</v>
      </c>
      <c r="L97" s="37">
        <v>2</v>
      </c>
      <c r="M97" s="34">
        <v>52</v>
      </c>
      <c r="N97" s="34">
        <v>48</v>
      </c>
      <c r="O97" s="34">
        <v>24</v>
      </c>
      <c r="P97" s="7"/>
    </row>
    <row r="98" ht="13.65" customHeight="1">
      <c r="A98" s="34">
        <v>1106</v>
      </c>
      <c r="B98" s="35">
        <v>40059</v>
      </c>
      <c r="C98" s="36">
        <v>50.41</v>
      </c>
      <c r="D98" s="37">
        <v>0</v>
      </c>
      <c r="E98" s="37">
        <v>1</v>
      </c>
      <c r="F98" s="37">
        <v>1</v>
      </c>
      <c r="G98" s="37">
        <v>1</v>
      </c>
      <c r="H98" s="34">
        <v>0</v>
      </c>
      <c r="I98" s="34" cm="1">
        <f t="array" ref="I98">IF(ISBLANK(H98),"",IF(H98,2,IF(G98,1,3)))</f>
        <v>1</v>
      </c>
      <c r="J98" t="str" s="7" cm="1">
        <f t="array" ref="J98">IF(ISBLANK(H98),"",IF(H98,"HER2pos",IF(G98,"HRposHER2neg","TripleNeg")))</f>
        <v>HRposHER2neg</v>
      </c>
      <c r="K98" s="37">
        <v>0</v>
      </c>
      <c r="L98" s="37">
        <v>2</v>
      </c>
      <c r="M98" s="34">
        <v>60</v>
      </c>
      <c r="N98" s="34">
        <v>56</v>
      </c>
      <c r="O98" s="34">
        <v>56</v>
      </c>
      <c r="P98" s="34">
        <v>41</v>
      </c>
    </row>
    <row r="99" ht="13.65" customHeight="1">
      <c r="A99" s="34">
        <v>1107</v>
      </c>
      <c r="B99" s="35">
        <v>40059</v>
      </c>
      <c r="C99" s="36">
        <v>58.37</v>
      </c>
      <c r="D99" s="37">
        <v>1</v>
      </c>
      <c r="E99" s="37">
        <v>1</v>
      </c>
      <c r="F99" s="37">
        <v>1</v>
      </c>
      <c r="G99" s="37">
        <v>1</v>
      </c>
      <c r="H99" s="34">
        <v>0</v>
      </c>
      <c r="I99" s="34" cm="1">
        <f t="array" ref="I99">IF(ISBLANK(H99),"",IF(H99,2,IF(G99,1,3)))</f>
        <v>1</v>
      </c>
      <c r="J99" t="str" s="7" cm="1">
        <f t="array" ref="J99">IF(ISBLANK(H99),"",IF(H99,"HER2pos",IF(G99,"HRposHER2neg","TripleNeg")))</f>
        <v>HRposHER2neg</v>
      </c>
      <c r="K99" s="37">
        <v>0</v>
      </c>
      <c r="L99" s="37">
        <v>1</v>
      </c>
      <c r="M99" s="34">
        <v>24</v>
      </c>
      <c r="N99" s="34">
        <v>22</v>
      </c>
      <c r="O99" s="34">
        <v>20</v>
      </c>
      <c r="P99" s="34">
        <v>20</v>
      </c>
    </row>
    <row r="100" ht="13.65" customHeight="1">
      <c r="A100" s="34">
        <v>1109</v>
      </c>
      <c r="B100" s="35">
        <v>40059</v>
      </c>
      <c r="C100" s="36">
        <v>52.53</v>
      </c>
      <c r="D100" s="37">
        <v>1</v>
      </c>
      <c r="E100" s="37">
        <v>1</v>
      </c>
      <c r="F100" s="37">
        <v>0</v>
      </c>
      <c r="G100" s="37">
        <v>1</v>
      </c>
      <c r="H100" s="34">
        <v>1</v>
      </c>
      <c r="I100" s="34" cm="1">
        <f t="array" ref="I100">IF(ISBLANK(H100),"",IF(H100,2,IF(G100,1,3)))</f>
        <v>2</v>
      </c>
      <c r="J100" t="str" s="7" cm="1">
        <f t="array" ref="J100">IF(ISBLANK(H100),"",IF(H100,"HER2pos",IF(G100,"HRposHER2neg","TripleNeg")))</f>
        <v>HER2pos</v>
      </c>
      <c r="K100" s="37">
        <v>0</v>
      </c>
      <c r="L100" s="37">
        <v>1</v>
      </c>
      <c r="M100" s="34">
        <v>28</v>
      </c>
      <c r="N100" s="34">
        <v>23</v>
      </c>
      <c r="O100" s="34">
        <v>16</v>
      </c>
      <c r="P100" s="34">
        <v>20</v>
      </c>
    </row>
    <row r="101" ht="13.65" customHeight="1">
      <c r="A101" s="34">
        <v>1110</v>
      </c>
      <c r="B101" s="35">
        <v>40059</v>
      </c>
      <c r="C101" s="36">
        <v>56.94</v>
      </c>
      <c r="D101" s="37">
        <v>1</v>
      </c>
      <c r="E101" s="37">
        <v>1</v>
      </c>
      <c r="F101" s="37">
        <v>1</v>
      </c>
      <c r="G101" s="37">
        <v>1</v>
      </c>
      <c r="H101" s="34">
        <v>0</v>
      </c>
      <c r="I101" s="34" cm="1">
        <f t="array" ref="I101">IF(ISBLANK(H101),"",IF(H101,2,IF(G101,1,3)))</f>
        <v>1</v>
      </c>
      <c r="J101" t="str" s="7" cm="1">
        <f t="array" ref="J101">IF(ISBLANK(H101),"",IF(H101,"HER2pos",IF(G101,"HRposHER2neg","TripleNeg")))</f>
        <v>HRposHER2neg</v>
      </c>
      <c r="K101" s="37">
        <v>0</v>
      </c>
      <c r="L101" s="37">
        <v>2</v>
      </c>
      <c r="M101" s="34">
        <v>36</v>
      </c>
      <c r="N101" s="34">
        <v>36</v>
      </c>
      <c r="O101" s="34">
        <v>21</v>
      </c>
      <c r="P101" s="34">
        <v>13</v>
      </c>
    </row>
    <row r="102" ht="13.65" customHeight="1">
      <c r="A102" s="34">
        <v>1111</v>
      </c>
      <c r="B102" s="35">
        <v>40059</v>
      </c>
      <c r="C102" s="36">
        <v>50.59</v>
      </c>
      <c r="D102" s="37">
        <v>1</v>
      </c>
      <c r="E102" s="37">
        <v>1</v>
      </c>
      <c r="F102" s="37">
        <v>1</v>
      </c>
      <c r="G102" s="37">
        <v>1</v>
      </c>
      <c r="H102" s="34">
        <v>0</v>
      </c>
      <c r="I102" s="34" cm="1">
        <f t="array" ref="I102">IF(ISBLANK(H102),"",IF(H102,2,IF(G102,1,3)))</f>
        <v>1</v>
      </c>
      <c r="J102" t="str" s="7" cm="1">
        <f t="array" ref="J102">IF(ISBLANK(H102),"",IF(H102,"HER2pos",IF(G102,"HRposHER2neg","TripleNeg")))</f>
        <v>HRposHER2neg</v>
      </c>
      <c r="K102" s="37">
        <v>0</v>
      </c>
      <c r="L102" s="37">
        <v>2</v>
      </c>
      <c r="M102" s="34">
        <v>78</v>
      </c>
      <c r="N102" s="34">
        <v>79</v>
      </c>
      <c r="O102" s="34">
        <v>77</v>
      </c>
      <c r="P102" s="34">
        <v>78</v>
      </c>
    </row>
    <row r="103" ht="13.65" customHeight="1">
      <c r="A103" s="34">
        <v>1112</v>
      </c>
      <c r="B103" s="35">
        <v>40059</v>
      </c>
      <c r="C103" s="36">
        <v>46.06</v>
      </c>
      <c r="D103" s="37">
        <v>1</v>
      </c>
      <c r="E103" s="37">
        <v>0</v>
      </c>
      <c r="F103" s="37">
        <v>0</v>
      </c>
      <c r="G103" s="37">
        <v>0</v>
      </c>
      <c r="H103" s="34">
        <v>1</v>
      </c>
      <c r="I103" s="34" cm="1">
        <f t="array" ref="I103">IF(ISBLANK(H103),"",IF(H103,2,IF(G103,1,3)))</f>
        <v>2</v>
      </c>
      <c r="J103" t="str" s="7" cm="1">
        <f t="array" ref="J103">IF(ISBLANK(H103),"",IF(H103,"HER2pos",IF(G103,"HRposHER2neg","TripleNeg")))</f>
        <v>HER2pos</v>
      </c>
      <c r="K103" s="37">
        <v>0</v>
      </c>
      <c r="L103" s="37">
        <v>1</v>
      </c>
      <c r="M103" s="34">
        <v>71</v>
      </c>
      <c r="N103" s="34">
        <v>78</v>
      </c>
      <c r="O103" s="34">
        <v>58</v>
      </c>
      <c r="P103" s="34">
        <v>5</v>
      </c>
    </row>
    <row r="104" ht="13.65" customHeight="1">
      <c r="A104" s="34">
        <v>1113</v>
      </c>
      <c r="B104" s="35">
        <v>40059</v>
      </c>
      <c r="C104" s="36">
        <v>53.49</v>
      </c>
      <c r="D104" s="37">
        <v>1</v>
      </c>
      <c r="E104" s="37">
        <v>1</v>
      </c>
      <c r="F104" s="37">
        <v>1</v>
      </c>
      <c r="G104" s="37">
        <v>1</v>
      </c>
      <c r="H104" s="34">
        <v>0</v>
      </c>
      <c r="I104" s="34" cm="1">
        <f t="array" ref="I104">IF(ISBLANK(H104),"",IF(H104,2,IF(G104,1,3)))</f>
        <v>1</v>
      </c>
      <c r="J104" t="str" s="7" cm="1">
        <f t="array" ref="J104">IF(ISBLANK(H104),"",IF(H104,"HER2pos",IF(G104,"HRposHER2neg","TripleNeg")))</f>
        <v>HRposHER2neg</v>
      </c>
      <c r="K104" s="37">
        <v>0</v>
      </c>
      <c r="L104" s="37">
        <v>1</v>
      </c>
      <c r="M104" s="34">
        <v>25</v>
      </c>
      <c r="N104" s="34">
        <v>25</v>
      </c>
      <c r="O104" s="34">
        <v>24</v>
      </c>
      <c r="P104" s="34">
        <v>0</v>
      </c>
    </row>
    <row r="105" ht="13.65" customHeight="1">
      <c r="A105" s="34">
        <v>1114</v>
      </c>
      <c r="B105" s="35">
        <v>40059</v>
      </c>
      <c r="C105" s="36">
        <v>44.82</v>
      </c>
      <c r="D105" s="37">
        <v>3</v>
      </c>
      <c r="E105" s="37">
        <v>1</v>
      </c>
      <c r="F105" s="37">
        <v>1</v>
      </c>
      <c r="G105" s="37">
        <v>1</v>
      </c>
      <c r="H105" s="34">
        <v>0</v>
      </c>
      <c r="I105" s="34" cm="1">
        <f t="array" ref="I105">IF(ISBLANK(H105),"",IF(H105,2,IF(G105,1,3)))</f>
        <v>1</v>
      </c>
      <c r="J105" t="str" s="7" cm="1">
        <f t="array" ref="J105">IF(ISBLANK(H105),"",IF(H105,"HER2pos",IF(G105,"HRposHER2neg","TripleNeg")))</f>
        <v>HRposHER2neg</v>
      </c>
      <c r="K105" s="37">
        <v>0</v>
      </c>
      <c r="L105" s="37">
        <v>2</v>
      </c>
      <c r="M105" s="34">
        <v>60</v>
      </c>
      <c r="N105" s="34">
        <v>50</v>
      </c>
      <c r="O105" s="34">
        <v>45</v>
      </c>
      <c r="P105" s="34">
        <v>45</v>
      </c>
    </row>
    <row r="106" ht="13.65" customHeight="1">
      <c r="A106" s="34">
        <v>1115</v>
      </c>
      <c r="B106" s="35">
        <v>40059</v>
      </c>
      <c r="C106" s="36">
        <v>51.84</v>
      </c>
      <c r="D106" s="37">
        <v>1</v>
      </c>
      <c r="E106" s="37">
        <v>1</v>
      </c>
      <c r="F106" s="37">
        <v>1</v>
      </c>
      <c r="G106" s="37">
        <v>1</v>
      </c>
      <c r="H106" s="34">
        <v>1</v>
      </c>
      <c r="I106" s="34" cm="1">
        <f t="array" ref="I106">IF(ISBLANK(H106),"",IF(H106,2,IF(G106,1,3)))</f>
        <v>2</v>
      </c>
      <c r="J106" t="str" s="7" cm="1">
        <f t="array" ref="J106">IF(ISBLANK(H106),"",IF(H106,"HER2pos",IF(G106,"HRposHER2neg","TripleNeg")))</f>
        <v>HER2pos</v>
      </c>
      <c r="K106" s="37">
        <v>0</v>
      </c>
      <c r="L106" s="37">
        <v>2</v>
      </c>
      <c r="M106" s="34">
        <v>184</v>
      </c>
      <c r="N106" s="34">
        <v>145</v>
      </c>
      <c r="O106" s="34">
        <v>95</v>
      </c>
      <c r="P106" s="34">
        <v>0</v>
      </c>
    </row>
    <row r="107" ht="13.65" customHeight="1">
      <c r="A107" s="34">
        <v>1116</v>
      </c>
      <c r="B107" s="35">
        <v>40059</v>
      </c>
      <c r="C107" s="36">
        <v>34.57</v>
      </c>
      <c r="D107" s="37">
        <v>1</v>
      </c>
      <c r="E107" s="37">
        <v>1</v>
      </c>
      <c r="F107" s="37">
        <v>1</v>
      </c>
      <c r="G107" s="37">
        <v>1</v>
      </c>
      <c r="H107" s="34">
        <v>0</v>
      </c>
      <c r="I107" s="34" cm="1">
        <f t="array" ref="I107">IF(ISBLANK(H107),"",IF(H107,2,IF(G107,1,3)))</f>
        <v>1</v>
      </c>
      <c r="J107" t="str" s="7" cm="1">
        <f t="array" ref="J107">IF(ISBLANK(H107),"",IF(H107,"HER2pos",IF(G107,"HRposHER2neg","TripleNeg")))</f>
        <v>HRposHER2neg</v>
      </c>
      <c r="K107" s="37">
        <v>0</v>
      </c>
      <c r="L107" s="37">
        <v>1</v>
      </c>
      <c r="M107" s="34">
        <v>26</v>
      </c>
      <c r="N107" s="34">
        <v>30</v>
      </c>
      <c r="O107" s="34">
        <v>7</v>
      </c>
      <c r="P107" s="34">
        <v>42</v>
      </c>
    </row>
    <row r="108" ht="13.65" customHeight="1">
      <c r="A108" s="34">
        <v>1117</v>
      </c>
      <c r="B108" s="35">
        <v>40059</v>
      </c>
      <c r="C108" s="36">
        <v>49.01</v>
      </c>
      <c r="D108" s="37">
        <v>3</v>
      </c>
      <c r="E108" s="37">
        <v>1</v>
      </c>
      <c r="F108" s="37">
        <v>1</v>
      </c>
      <c r="G108" s="37">
        <v>1</v>
      </c>
      <c r="H108" s="34">
        <v>0</v>
      </c>
      <c r="I108" s="34" cm="1">
        <f t="array" ref="I108">IF(ISBLANK(H108),"",IF(H108,2,IF(G108,1,3)))</f>
        <v>1</v>
      </c>
      <c r="J108" t="str" s="7" cm="1">
        <f t="array" ref="J108">IF(ISBLANK(H108),"",IF(H108,"HER2pos",IF(G108,"HRposHER2neg","TripleNeg")))</f>
        <v>HRposHER2neg</v>
      </c>
      <c r="K108" s="37">
        <v>0</v>
      </c>
      <c r="L108" s="37">
        <v>2</v>
      </c>
      <c r="M108" s="34">
        <v>68</v>
      </c>
      <c r="N108" s="34">
        <v>65</v>
      </c>
      <c r="O108" s="34">
        <v>38</v>
      </c>
      <c r="P108" s="34">
        <v>20</v>
      </c>
    </row>
    <row r="109" ht="13.65" customHeight="1">
      <c r="A109" s="34">
        <v>1118</v>
      </c>
      <c r="B109" s="35">
        <v>40059</v>
      </c>
      <c r="C109" s="36">
        <v>39.23</v>
      </c>
      <c r="D109" s="37">
        <v>1</v>
      </c>
      <c r="E109" s="37">
        <v>1</v>
      </c>
      <c r="F109" s="37">
        <v>1</v>
      </c>
      <c r="G109" s="37">
        <v>1</v>
      </c>
      <c r="H109" s="34">
        <v>1</v>
      </c>
      <c r="I109" s="34" cm="1">
        <f t="array" ref="I109">IF(ISBLANK(H109),"",IF(H109,2,IF(G109,1,3)))</f>
        <v>2</v>
      </c>
      <c r="J109" t="str" s="7" cm="1">
        <f t="array" ref="J109">IF(ISBLANK(H109),"",IF(H109,"HER2pos",IF(G109,"HRposHER2neg","TripleNeg")))</f>
        <v>HER2pos</v>
      </c>
      <c r="K109" s="37">
        <v>0</v>
      </c>
      <c r="L109" s="37">
        <v>1</v>
      </c>
      <c r="M109" s="34">
        <v>36</v>
      </c>
      <c r="N109" s="34">
        <v>45</v>
      </c>
      <c r="O109" s="34">
        <v>50</v>
      </c>
      <c r="P109" s="34">
        <v>0</v>
      </c>
    </row>
    <row r="110" ht="13.65" customHeight="1">
      <c r="A110" s="34">
        <v>1120</v>
      </c>
      <c r="B110" s="35">
        <v>40059</v>
      </c>
      <c r="C110" s="36">
        <v>41.09</v>
      </c>
      <c r="D110" s="37">
        <v>3</v>
      </c>
      <c r="E110" s="37">
        <v>1</v>
      </c>
      <c r="F110" s="37">
        <v>1</v>
      </c>
      <c r="G110" s="37">
        <v>1</v>
      </c>
      <c r="H110" s="34">
        <v>0</v>
      </c>
      <c r="I110" s="34" cm="1">
        <f t="array" ref="I110">IF(ISBLANK(H110),"",IF(H110,2,IF(G110,1,3)))</f>
        <v>1</v>
      </c>
      <c r="J110" t="str" s="7" cm="1">
        <f t="array" ref="J110">IF(ISBLANK(H110),"",IF(H110,"HER2pos",IF(G110,"HRposHER2neg","TripleNeg")))</f>
        <v>HRposHER2neg</v>
      </c>
      <c r="K110" s="37">
        <v>0</v>
      </c>
      <c r="L110" s="37">
        <v>2</v>
      </c>
      <c r="M110" s="34">
        <v>74</v>
      </c>
      <c r="N110" s="34">
        <v>48</v>
      </c>
      <c r="O110" s="34">
        <v>39</v>
      </c>
      <c r="P110" s="7"/>
    </row>
    <row r="111" ht="13.65" customHeight="1">
      <c r="A111" s="34">
        <v>1121</v>
      </c>
      <c r="B111" s="35">
        <v>40059</v>
      </c>
      <c r="C111" s="36">
        <v>41.51</v>
      </c>
      <c r="D111" s="37">
        <v>1</v>
      </c>
      <c r="E111" s="37">
        <v>0</v>
      </c>
      <c r="F111" s="37">
        <v>0</v>
      </c>
      <c r="G111" s="37">
        <v>0</v>
      </c>
      <c r="H111" s="34">
        <v>0</v>
      </c>
      <c r="I111" s="34" cm="1">
        <f t="array" ref="I111">IF(ISBLANK(H111),"",IF(H111,2,IF(G111,1,3)))</f>
        <v>3</v>
      </c>
      <c r="J111" t="str" s="7" cm="1">
        <f t="array" ref="J111">IF(ISBLANK(H111),"",IF(H111,"HER2pos",IF(G111,"HRposHER2neg","TripleNeg")))</f>
        <v>TripleNeg</v>
      </c>
      <c r="K111" s="37">
        <v>0</v>
      </c>
      <c r="L111" s="37">
        <v>2</v>
      </c>
      <c r="M111" s="34">
        <v>31</v>
      </c>
      <c r="N111" s="34">
        <v>23</v>
      </c>
      <c r="O111" s="34">
        <v>17</v>
      </c>
      <c r="P111" s="34">
        <v>0</v>
      </c>
    </row>
    <row r="112" ht="13.65" customHeight="1">
      <c r="A112" s="34">
        <v>1122</v>
      </c>
      <c r="B112" s="35">
        <v>40059</v>
      </c>
      <c r="C112" s="36">
        <v>59.7</v>
      </c>
      <c r="D112" s="37">
        <v>1</v>
      </c>
      <c r="E112" s="37">
        <v>0</v>
      </c>
      <c r="F112" s="37">
        <v>0</v>
      </c>
      <c r="G112" s="37">
        <v>0</v>
      </c>
      <c r="H112" s="34">
        <v>1</v>
      </c>
      <c r="I112" s="34" cm="1">
        <f t="array" ref="I112">IF(ISBLANK(H112),"",IF(H112,2,IF(G112,1,3)))</f>
        <v>2</v>
      </c>
      <c r="J112" t="str" s="7" cm="1">
        <f t="array" ref="J112">IF(ISBLANK(H112),"",IF(H112,"HER2pos",IF(G112,"HRposHER2neg","TripleNeg")))</f>
        <v>HER2pos</v>
      </c>
      <c r="K112" s="37">
        <v>0</v>
      </c>
      <c r="L112" s="37">
        <v>1</v>
      </c>
      <c r="M112" s="34">
        <v>65</v>
      </c>
      <c r="N112" s="34">
        <v>53</v>
      </c>
      <c r="O112" s="34">
        <v>56</v>
      </c>
      <c r="P112" s="34">
        <v>25</v>
      </c>
    </row>
    <row r="113" ht="13.65" customHeight="1">
      <c r="A113" s="34">
        <v>1123</v>
      </c>
      <c r="B113" s="35">
        <v>40059</v>
      </c>
      <c r="C113" s="36">
        <v>61.86</v>
      </c>
      <c r="D113" s="37">
        <v>1</v>
      </c>
      <c r="E113" s="37">
        <v>1</v>
      </c>
      <c r="F113" s="37">
        <v>1</v>
      </c>
      <c r="G113" s="37">
        <v>1</v>
      </c>
      <c r="H113" s="34">
        <v>0</v>
      </c>
      <c r="I113" s="34" cm="1">
        <f t="array" ref="I113">IF(ISBLANK(H113),"",IF(H113,2,IF(G113,1,3)))</f>
        <v>1</v>
      </c>
      <c r="J113" t="str" s="7" cm="1">
        <f t="array" ref="J113">IF(ISBLANK(H113),"",IF(H113,"HER2pos",IF(G113,"HRposHER2neg","TripleNeg")))</f>
        <v>HRposHER2neg</v>
      </c>
      <c r="K113" s="37">
        <v>0</v>
      </c>
      <c r="L113" s="37">
        <v>1</v>
      </c>
      <c r="M113" s="34">
        <v>85</v>
      </c>
      <c r="N113" s="34">
        <v>61</v>
      </c>
      <c r="O113" s="34">
        <v>60</v>
      </c>
      <c r="P113" s="34">
        <v>48</v>
      </c>
    </row>
    <row r="114" ht="13.65" customHeight="1">
      <c r="A114" s="34">
        <v>1124</v>
      </c>
      <c r="B114" s="35">
        <v>40059</v>
      </c>
      <c r="C114" s="36">
        <v>47.6</v>
      </c>
      <c r="D114" s="37">
        <v>1</v>
      </c>
      <c r="E114" s="37">
        <v>0</v>
      </c>
      <c r="F114" s="37">
        <v>0</v>
      </c>
      <c r="G114" s="37">
        <v>0</v>
      </c>
      <c r="H114" s="34">
        <v>1</v>
      </c>
      <c r="I114" s="34" cm="1">
        <f t="array" ref="I114">IF(ISBLANK(H114),"",IF(H114,2,IF(G114,1,3)))</f>
        <v>2</v>
      </c>
      <c r="J114" t="str" s="7" cm="1">
        <f t="array" ref="J114">IF(ISBLANK(H114),"",IF(H114,"HER2pos",IF(G114,"HRposHER2neg","TripleNeg")))</f>
        <v>HER2pos</v>
      </c>
      <c r="K114" s="37">
        <v>0</v>
      </c>
      <c r="L114" s="37">
        <v>1</v>
      </c>
      <c r="M114" s="34">
        <v>100</v>
      </c>
      <c r="N114" s="34">
        <v>95</v>
      </c>
      <c r="O114" s="34">
        <v>95</v>
      </c>
      <c r="P114" s="34">
        <v>82</v>
      </c>
    </row>
    <row r="115" ht="13.65" customHeight="1">
      <c r="A115" s="34">
        <v>1125</v>
      </c>
      <c r="B115" s="35">
        <v>40059</v>
      </c>
      <c r="C115" s="36">
        <v>44.85</v>
      </c>
      <c r="D115" s="37">
        <v>50</v>
      </c>
      <c r="E115" s="37">
        <v>1</v>
      </c>
      <c r="F115" s="37">
        <v>1</v>
      </c>
      <c r="G115" s="37">
        <v>1</v>
      </c>
      <c r="H115" s="34">
        <v>0</v>
      </c>
      <c r="I115" s="34" cm="1">
        <f t="array" ref="I115">IF(ISBLANK(H115),"",IF(H115,2,IF(G115,1,3)))</f>
        <v>1</v>
      </c>
      <c r="J115" t="str" s="7" cm="1">
        <f t="array" ref="J115">IF(ISBLANK(H115),"",IF(H115,"HER2pos",IF(G115,"HRposHER2neg","TripleNeg")))</f>
        <v>HRposHER2neg</v>
      </c>
      <c r="K115" s="37">
        <v>0</v>
      </c>
      <c r="L115" s="37">
        <v>1</v>
      </c>
      <c r="M115" s="34">
        <v>85</v>
      </c>
      <c r="N115" s="34">
        <v>78</v>
      </c>
      <c r="O115" s="34">
        <v>80</v>
      </c>
      <c r="P115" s="34">
        <v>55</v>
      </c>
    </row>
    <row r="116" ht="13.65" customHeight="1">
      <c r="A116" s="34">
        <v>1126</v>
      </c>
      <c r="B116" s="35">
        <v>40059</v>
      </c>
      <c r="C116" s="36">
        <v>62.95</v>
      </c>
      <c r="D116" s="37">
        <v>1</v>
      </c>
      <c r="E116" s="37">
        <v>0</v>
      </c>
      <c r="F116" s="37">
        <v>0</v>
      </c>
      <c r="G116" s="37">
        <v>0</v>
      </c>
      <c r="H116" s="34">
        <v>0</v>
      </c>
      <c r="I116" s="34" cm="1">
        <f t="array" ref="I116">IF(ISBLANK(H116),"",IF(H116,2,IF(G116,1,3)))</f>
        <v>3</v>
      </c>
      <c r="J116" t="str" s="7" cm="1">
        <f t="array" ref="J116">IF(ISBLANK(H116),"",IF(H116,"HER2pos",IF(G116,"HRposHER2neg","TripleNeg")))</f>
        <v>TripleNeg</v>
      </c>
      <c r="K116" s="37">
        <v>0</v>
      </c>
      <c r="L116" s="37">
        <v>2</v>
      </c>
      <c r="M116" s="34">
        <v>105</v>
      </c>
      <c r="N116" s="34">
        <v>92</v>
      </c>
      <c r="O116" s="7"/>
      <c r="P116" s="34">
        <v>70</v>
      </c>
    </row>
    <row r="117" ht="13.65" customHeight="1">
      <c r="A117" s="34">
        <v>1127</v>
      </c>
      <c r="B117" s="35">
        <v>40059</v>
      </c>
      <c r="C117" s="36">
        <v>47.61</v>
      </c>
      <c r="D117" s="37">
        <v>4</v>
      </c>
      <c r="E117" s="37">
        <v>1</v>
      </c>
      <c r="F117" s="37">
        <v>1</v>
      </c>
      <c r="G117" s="37">
        <v>1</v>
      </c>
      <c r="H117" s="34">
        <v>0</v>
      </c>
      <c r="I117" s="34" cm="1">
        <f t="array" ref="I117">IF(ISBLANK(H117),"",IF(H117,2,IF(G117,1,3)))</f>
        <v>1</v>
      </c>
      <c r="J117" t="str" s="7" cm="1">
        <f t="array" ref="J117">IF(ISBLANK(H117),"",IF(H117,"HER2pos",IF(G117,"HRposHER2neg","TripleNeg")))</f>
        <v>HRposHER2neg</v>
      </c>
      <c r="K117" s="37">
        <v>0</v>
      </c>
      <c r="L117" s="37">
        <v>2</v>
      </c>
      <c r="M117" s="34">
        <v>53</v>
      </c>
      <c r="N117" s="34">
        <v>62</v>
      </c>
      <c r="O117" s="34">
        <v>52</v>
      </c>
      <c r="P117" s="34">
        <v>36</v>
      </c>
    </row>
    <row r="118" ht="13.65" customHeight="1">
      <c r="A118" s="34">
        <v>1128</v>
      </c>
      <c r="B118" s="35">
        <v>40059</v>
      </c>
      <c r="C118" s="36">
        <v>33.18</v>
      </c>
      <c r="D118" s="37">
        <v>1</v>
      </c>
      <c r="E118" s="37">
        <v>1</v>
      </c>
      <c r="F118" s="37">
        <v>0</v>
      </c>
      <c r="G118" s="37">
        <v>1</v>
      </c>
      <c r="H118" s="34">
        <v>1</v>
      </c>
      <c r="I118" s="34" cm="1">
        <f t="array" ref="I118">IF(ISBLANK(H118),"",IF(H118,2,IF(G118,1,3)))</f>
        <v>2</v>
      </c>
      <c r="J118" t="str" s="7" cm="1">
        <f t="array" ref="J118">IF(ISBLANK(H118),"",IF(H118,"HER2pos",IF(G118,"HRposHER2neg","TripleNeg")))</f>
        <v>HER2pos</v>
      </c>
      <c r="K118" s="37">
        <v>0</v>
      </c>
      <c r="L118" s="37">
        <v>2</v>
      </c>
      <c r="M118" s="34">
        <v>23</v>
      </c>
      <c r="N118" s="34">
        <v>22</v>
      </c>
      <c r="O118" s="34">
        <v>15</v>
      </c>
      <c r="P118" s="34">
        <v>12</v>
      </c>
    </row>
    <row r="119" ht="13.65" customHeight="1">
      <c r="A119" s="34">
        <v>1129</v>
      </c>
      <c r="B119" s="35">
        <v>40059</v>
      </c>
      <c r="C119" s="36">
        <v>52.45</v>
      </c>
      <c r="D119" s="37">
        <v>3</v>
      </c>
      <c r="E119" s="37">
        <v>0</v>
      </c>
      <c r="F119" s="37">
        <v>0</v>
      </c>
      <c r="G119" s="37">
        <v>0</v>
      </c>
      <c r="H119" s="34">
        <v>1</v>
      </c>
      <c r="I119" s="34" cm="1">
        <f t="array" ref="I119">IF(ISBLANK(H119),"",IF(H119,2,IF(G119,1,3)))</f>
        <v>2</v>
      </c>
      <c r="J119" t="str" s="7" cm="1">
        <f t="array" ref="J119">IF(ISBLANK(H119),"",IF(H119,"HER2pos",IF(G119,"HRposHER2neg","TripleNeg")))</f>
        <v>HER2pos</v>
      </c>
      <c r="K119" s="37">
        <v>0</v>
      </c>
      <c r="L119" s="37">
        <v>1</v>
      </c>
      <c r="M119" s="34">
        <v>80</v>
      </c>
      <c r="N119" s="34">
        <v>60</v>
      </c>
      <c r="O119" s="34">
        <v>50</v>
      </c>
      <c r="P119" s="34">
        <v>0</v>
      </c>
    </row>
    <row r="120" ht="13.65" customHeight="1">
      <c r="A120" s="34">
        <v>1130</v>
      </c>
      <c r="B120" s="35">
        <v>40059</v>
      </c>
      <c r="C120" s="36">
        <v>39.08</v>
      </c>
      <c r="D120" s="37">
        <v>1</v>
      </c>
      <c r="E120" s="37">
        <v>1</v>
      </c>
      <c r="F120" s="37">
        <v>0</v>
      </c>
      <c r="G120" s="37">
        <v>1</v>
      </c>
      <c r="H120" s="34">
        <v>0</v>
      </c>
      <c r="I120" s="34" cm="1">
        <f t="array" ref="I120">IF(ISBLANK(H120),"",IF(H120,2,IF(G120,1,3)))</f>
        <v>1</v>
      </c>
      <c r="J120" t="str" s="7" cm="1">
        <f t="array" ref="J120">IF(ISBLANK(H120),"",IF(H120,"HER2pos",IF(G120,"HRposHER2neg","TripleNeg")))</f>
        <v>HRposHER2neg</v>
      </c>
      <c r="K120" s="37">
        <v>0</v>
      </c>
      <c r="L120" s="37">
        <v>1</v>
      </c>
      <c r="M120" s="34">
        <v>22</v>
      </c>
      <c r="N120" s="34">
        <v>9</v>
      </c>
      <c r="O120" s="34">
        <v>9</v>
      </c>
      <c r="P120" s="34">
        <v>0</v>
      </c>
    </row>
    <row r="121" ht="13.65" customHeight="1">
      <c r="A121" s="34">
        <v>1132</v>
      </c>
      <c r="B121" s="35">
        <v>40059</v>
      </c>
      <c r="C121" s="36">
        <v>51.42</v>
      </c>
      <c r="D121" s="37">
        <v>1</v>
      </c>
      <c r="E121" s="37">
        <v>1</v>
      </c>
      <c r="F121" s="37">
        <v>1</v>
      </c>
      <c r="G121" s="37">
        <v>1</v>
      </c>
      <c r="H121" s="34">
        <v>0</v>
      </c>
      <c r="I121" s="34" cm="1">
        <f t="array" ref="I121">IF(ISBLANK(H121),"",IF(H121,2,IF(G121,1,3)))</f>
        <v>1</v>
      </c>
      <c r="J121" t="str" s="7" cm="1">
        <f t="array" ref="J121">IF(ISBLANK(H121),"",IF(H121,"HER2pos",IF(G121,"HRposHER2neg","TripleNeg")))</f>
        <v>HRposHER2neg</v>
      </c>
      <c r="K121" s="37">
        <v>0</v>
      </c>
      <c r="L121" s="37">
        <v>1</v>
      </c>
      <c r="M121" s="34">
        <v>65</v>
      </c>
      <c r="N121" s="34">
        <v>64</v>
      </c>
      <c r="O121" s="34">
        <v>60</v>
      </c>
      <c r="P121" s="34">
        <v>52</v>
      </c>
    </row>
    <row r="122" ht="13.65" customHeight="1">
      <c r="A122" s="34">
        <v>1134</v>
      </c>
      <c r="B122" s="35">
        <v>40059</v>
      </c>
      <c r="C122" s="36">
        <v>43.06</v>
      </c>
      <c r="D122" s="37">
        <v>1</v>
      </c>
      <c r="E122" s="37">
        <v>1</v>
      </c>
      <c r="F122" s="37">
        <v>1</v>
      </c>
      <c r="G122" s="37">
        <v>1</v>
      </c>
      <c r="H122" s="34">
        <v>0</v>
      </c>
      <c r="I122" s="34" cm="1">
        <f t="array" ref="I122">IF(ISBLANK(H122),"",IF(H122,2,IF(G122,1,3)))</f>
        <v>1</v>
      </c>
      <c r="J122" t="str" s="7" cm="1">
        <f t="array" ref="J122">IF(ISBLANK(H122),"",IF(H122,"HER2pos",IF(G122,"HRposHER2neg","TripleNeg")))</f>
        <v>HRposHER2neg</v>
      </c>
      <c r="K122" s="37">
        <v>0</v>
      </c>
      <c r="L122" s="37">
        <v>1</v>
      </c>
      <c r="M122" s="34">
        <v>38</v>
      </c>
      <c r="N122" s="34">
        <v>41</v>
      </c>
      <c r="O122" s="34">
        <v>21</v>
      </c>
      <c r="P122" s="34">
        <v>15</v>
      </c>
    </row>
    <row r="123" ht="13.65" customHeight="1">
      <c r="A123" s="34">
        <v>1135</v>
      </c>
      <c r="B123" s="35">
        <v>40059</v>
      </c>
      <c r="C123" s="36">
        <v>58.89</v>
      </c>
      <c r="D123" s="37">
        <v>1</v>
      </c>
      <c r="E123" s="37">
        <v>0</v>
      </c>
      <c r="F123" s="37">
        <v>0</v>
      </c>
      <c r="G123" s="37">
        <v>0</v>
      </c>
      <c r="H123" s="34">
        <v>0</v>
      </c>
      <c r="I123" s="34" cm="1">
        <f t="array" ref="I123">IF(ISBLANK(H123),"",IF(H123,2,IF(G123,1,3)))</f>
        <v>3</v>
      </c>
      <c r="J123" t="str" s="7" cm="1">
        <f t="array" ref="J123">IF(ISBLANK(H123),"",IF(H123,"HER2pos",IF(G123,"HRposHER2neg","TripleNeg")))</f>
        <v>TripleNeg</v>
      </c>
      <c r="K123" s="37">
        <v>0</v>
      </c>
      <c r="L123" s="37">
        <v>2</v>
      </c>
      <c r="M123" s="34">
        <v>28</v>
      </c>
      <c r="N123" s="34">
        <v>28</v>
      </c>
      <c r="O123" s="34">
        <v>21</v>
      </c>
      <c r="P123" s="34">
        <v>11</v>
      </c>
    </row>
    <row r="124" ht="13.65" customHeight="1">
      <c r="A124" s="34">
        <v>1136</v>
      </c>
      <c r="B124" s="35">
        <v>40059</v>
      </c>
      <c r="C124" s="36">
        <v>60.03</v>
      </c>
      <c r="D124" s="37">
        <v>3</v>
      </c>
      <c r="E124" s="37">
        <v>0</v>
      </c>
      <c r="F124" s="37">
        <v>0</v>
      </c>
      <c r="G124" s="37">
        <v>0</v>
      </c>
      <c r="H124" s="34">
        <v>0</v>
      </c>
      <c r="I124" s="34" cm="1">
        <f t="array" ref="I124">IF(ISBLANK(H124),"",IF(H124,2,IF(G124,1,3)))</f>
        <v>3</v>
      </c>
      <c r="J124" t="str" s="7" cm="1">
        <f t="array" ref="J124">IF(ISBLANK(H124),"",IF(H124,"HER2pos",IF(G124,"HRposHER2neg","TripleNeg")))</f>
        <v>TripleNeg</v>
      </c>
      <c r="K124" s="37">
        <v>0</v>
      </c>
      <c r="L124" s="37">
        <v>2</v>
      </c>
      <c r="M124" s="34">
        <v>82</v>
      </c>
      <c r="N124" s="34">
        <v>70</v>
      </c>
      <c r="O124" s="34">
        <v>28</v>
      </c>
      <c r="P124" s="34">
        <v>44</v>
      </c>
    </row>
    <row r="125" ht="13.65" customHeight="1">
      <c r="A125" s="34">
        <v>1137</v>
      </c>
      <c r="B125" s="35">
        <v>40059</v>
      </c>
      <c r="C125" s="36">
        <v>29.38</v>
      </c>
      <c r="D125" s="37">
        <v>1</v>
      </c>
      <c r="E125" s="37">
        <v>1</v>
      </c>
      <c r="F125" s="37">
        <v>1</v>
      </c>
      <c r="G125" s="37">
        <v>1</v>
      </c>
      <c r="H125" s="34">
        <v>1</v>
      </c>
      <c r="I125" s="34" cm="1">
        <f t="array" ref="I125">IF(ISBLANK(H125),"",IF(H125,2,IF(G125,1,3)))</f>
        <v>2</v>
      </c>
      <c r="J125" t="str" s="7" cm="1">
        <f t="array" ref="J125">IF(ISBLANK(H125),"",IF(H125,"HER2pos",IF(G125,"HRposHER2neg","TripleNeg")))</f>
        <v>HER2pos</v>
      </c>
      <c r="K125" s="37">
        <v>0</v>
      </c>
      <c r="L125" s="37">
        <v>2</v>
      </c>
      <c r="M125" s="34">
        <v>92</v>
      </c>
      <c r="N125" s="34">
        <v>90</v>
      </c>
      <c r="O125" s="34">
        <v>34</v>
      </c>
      <c r="P125" s="34">
        <v>25</v>
      </c>
    </row>
    <row r="126" ht="13.65" customHeight="1">
      <c r="A126" s="34">
        <v>1138</v>
      </c>
      <c r="B126" s="35">
        <v>40059</v>
      </c>
      <c r="C126" s="36">
        <v>35.13</v>
      </c>
      <c r="D126" s="37">
        <v>3</v>
      </c>
      <c r="E126" s="37">
        <v>1</v>
      </c>
      <c r="F126" s="37">
        <v>0</v>
      </c>
      <c r="G126" s="37">
        <v>1</v>
      </c>
      <c r="H126" s="34">
        <v>0</v>
      </c>
      <c r="I126" s="34" cm="1">
        <f t="array" ref="I126">IF(ISBLANK(H126),"",IF(H126,2,IF(G126,1,3)))</f>
        <v>1</v>
      </c>
      <c r="J126" t="str" s="7" cm="1">
        <f t="array" ref="J126">IF(ISBLANK(H126),"",IF(H126,"HER2pos",IF(G126,"HRposHER2neg","TripleNeg")))</f>
        <v>HRposHER2neg</v>
      </c>
      <c r="K126" s="37">
        <v>0</v>
      </c>
      <c r="L126" s="37">
        <v>2</v>
      </c>
      <c r="M126" s="34">
        <v>63</v>
      </c>
      <c r="N126" s="34">
        <v>41</v>
      </c>
      <c r="O126" s="34">
        <v>45</v>
      </c>
      <c r="P126" s="34">
        <v>39</v>
      </c>
    </row>
    <row r="127" ht="13.65" customHeight="1">
      <c r="A127" s="34">
        <v>1139</v>
      </c>
      <c r="B127" s="35">
        <v>40059</v>
      </c>
      <c r="C127" s="36">
        <v>46.26</v>
      </c>
      <c r="D127" s="37">
        <v>1</v>
      </c>
      <c r="E127" s="37">
        <v>0</v>
      </c>
      <c r="F127" s="37">
        <v>0</v>
      </c>
      <c r="G127" s="37">
        <v>0</v>
      </c>
      <c r="H127" s="34">
        <v>0</v>
      </c>
      <c r="I127" s="34" cm="1">
        <f t="array" ref="I127">IF(ISBLANK(H127),"",IF(H127,2,IF(G127,1,3)))</f>
        <v>3</v>
      </c>
      <c r="J127" t="str" s="7" cm="1">
        <f t="array" ref="J127">IF(ISBLANK(H127),"",IF(H127,"HER2pos",IF(G127,"HRposHER2neg","TripleNeg")))</f>
        <v>TripleNeg</v>
      </c>
      <c r="K127" s="37">
        <v>0</v>
      </c>
      <c r="L127" s="37">
        <v>2</v>
      </c>
      <c r="M127" s="34">
        <v>113</v>
      </c>
      <c r="N127" s="34">
        <v>113</v>
      </c>
      <c r="O127" s="34">
        <v>6</v>
      </c>
      <c r="P127" s="34">
        <v>0</v>
      </c>
    </row>
    <row r="128" ht="13.65" customHeight="1">
      <c r="A128" s="34">
        <v>1140</v>
      </c>
      <c r="B128" s="35">
        <v>40059</v>
      </c>
      <c r="C128" s="36">
        <v>35.12</v>
      </c>
      <c r="D128" s="37">
        <v>1</v>
      </c>
      <c r="E128" s="37">
        <v>1</v>
      </c>
      <c r="F128" s="37">
        <v>0</v>
      </c>
      <c r="G128" s="37">
        <v>1</v>
      </c>
      <c r="H128" s="34">
        <v>0</v>
      </c>
      <c r="I128" s="34" cm="1">
        <f t="array" ref="I128">IF(ISBLANK(H128),"",IF(H128,2,IF(G128,1,3)))</f>
        <v>1</v>
      </c>
      <c r="J128" t="str" s="7" cm="1">
        <f t="array" ref="J128">IF(ISBLANK(H128),"",IF(H128,"HER2pos",IF(G128,"HRposHER2neg","TripleNeg")))</f>
        <v>HRposHER2neg</v>
      </c>
      <c r="K128" s="37">
        <v>0</v>
      </c>
      <c r="L128" s="37">
        <v>1</v>
      </c>
      <c r="M128" s="34">
        <v>118</v>
      </c>
      <c r="N128" s="34">
        <v>37</v>
      </c>
      <c r="O128" s="7"/>
      <c r="P128" s="34">
        <v>0</v>
      </c>
    </row>
    <row r="129" ht="13.65" customHeight="1">
      <c r="A129" s="34">
        <v>1141</v>
      </c>
      <c r="B129" s="35">
        <v>40059</v>
      </c>
      <c r="C129" s="36">
        <v>49.15</v>
      </c>
      <c r="D129" s="37">
        <v>3</v>
      </c>
      <c r="E129" s="37">
        <v>0</v>
      </c>
      <c r="F129" s="37">
        <v>0</v>
      </c>
      <c r="G129" s="37">
        <v>0</v>
      </c>
      <c r="H129" s="34">
        <v>1</v>
      </c>
      <c r="I129" s="34" cm="1">
        <f t="array" ref="I129">IF(ISBLANK(H129),"",IF(H129,2,IF(G129,1,3)))</f>
        <v>2</v>
      </c>
      <c r="J129" t="str" s="7" cm="1">
        <f t="array" ref="J129">IF(ISBLANK(H129),"",IF(H129,"HER2pos",IF(G129,"HRposHER2neg","TripleNeg")))</f>
        <v>HER2pos</v>
      </c>
      <c r="K129" s="37">
        <v>0</v>
      </c>
      <c r="L129" s="37">
        <v>2</v>
      </c>
      <c r="M129" s="34">
        <v>90</v>
      </c>
      <c r="N129" s="34">
        <v>81</v>
      </c>
      <c r="O129" s="34">
        <v>67</v>
      </c>
      <c r="P129" s="34">
        <v>47</v>
      </c>
    </row>
    <row r="130" ht="13.65" customHeight="1">
      <c r="A130" s="34">
        <v>1142</v>
      </c>
      <c r="B130" s="35">
        <v>40059</v>
      </c>
      <c r="C130" s="36">
        <v>28.76</v>
      </c>
      <c r="D130" s="37">
        <v>1</v>
      </c>
      <c r="E130" s="37">
        <v>0</v>
      </c>
      <c r="F130" s="37">
        <v>1</v>
      </c>
      <c r="G130" s="37">
        <v>1</v>
      </c>
      <c r="H130" s="7"/>
      <c r="I130" t="str" s="7" cm="1">
        <f t="array" ref="I130">IF(ISBLANK(H130),"",IF(H130,2,IF(G130,1,3)))</f>
      </c>
      <c r="J130" t="str" s="7" cm="1">
        <f t="array" ref="J130">IF(ISBLANK(H130),"",IF(H130,"HER2pos",IF(G130,"HRposHER2neg","TripleNeg")))</f>
      </c>
      <c r="K130" s="37">
        <v>0</v>
      </c>
      <c r="L130" s="37">
        <v>1</v>
      </c>
      <c r="M130" s="34">
        <v>84</v>
      </c>
      <c r="N130" s="34">
        <v>79</v>
      </c>
      <c r="O130" s="34">
        <v>120</v>
      </c>
      <c r="P130" s="34">
        <v>101</v>
      </c>
    </row>
    <row r="131" ht="13.65" customHeight="1">
      <c r="A131" s="34">
        <v>1143</v>
      </c>
      <c r="B131" s="35">
        <v>40059</v>
      </c>
      <c r="C131" s="36">
        <v>55.35</v>
      </c>
      <c r="D131" s="37">
        <v>1</v>
      </c>
      <c r="E131" s="37">
        <v>1</v>
      </c>
      <c r="F131" s="37">
        <v>1</v>
      </c>
      <c r="G131" s="37">
        <v>1</v>
      </c>
      <c r="H131" s="34">
        <v>0</v>
      </c>
      <c r="I131" s="34" cm="1">
        <f t="array" ref="I131">IF(ISBLANK(H131),"",IF(H131,2,IF(G131,1,3)))</f>
        <v>1</v>
      </c>
      <c r="J131" t="str" s="7" cm="1">
        <f t="array" ref="J131">IF(ISBLANK(H131),"",IF(H131,"HER2pos",IF(G131,"HRposHER2neg","TripleNeg")))</f>
        <v>HRposHER2neg</v>
      </c>
      <c r="K131" s="37">
        <v>0</v>
      </c>
      <c r="L131" s="37">
        <v>2</v>
      </c>
      <c r="M131" s="34">
        <v>92</v>
      </c>
      <c r="N131" s="34">
        <v>89</v>
      </c>
      <c r="O131" s="34">
        <v>77</v>
      </c>
      <c r="P131" s="7"/>
    </row>
    <row r="132" ht="13.65" customHeight="1">
      <c r="A132" s="34">
        <v>1144</v>
      </c>
      <c r="B132" s="35">
        <v>40059</v>
      </c>
      <c r="C132" s="36">
        <v>56.28</v>
      </c>
      <c r="D132" s="37">
        <v>1</v>
      </c>
      <c r="E132" s="37">
        <v>0</v>
      </c>
      <c r="F132" s="37">
        <v>0</v>
      </c>
      <c r="G132" s="37">
        <v>0</v>
      </c>
      <c r="H132" s="7"/>
      <c r="I132" t="str" s="7" cm="1">
        <f t="array" ref="I132">IF(ISBLANK(H132),"",IF(H132,2,IF(G132,1,3)))</f>
      </c>
      <c r="J132" t="str" s="7" cm="1">
        <f t="array" ref="J132">IF(ISBLANK(H132),"",IF(H132,"HER2pos",IF(G132,"HRposHER2neg","TripleNeg")))</f>
      </c>
      <c r="K132" s="37">
        <v>0</v>
      </c>
      <c r="L132" s="37">
        <v>1</v>
      </c>
      <c r="M132" s="34">
        <v>47</v>
      </c>
      <c r="N132" s="34">
        <v>46</v>
      </c>
      <c r="O132" s="34">
        <v>26</v>
      </c>
      <c r="P132" s="34">
        <v>18</v>
      </c>
    </row>
    <row r="133" ht="13.65" customHeight="1">
      <c r="A133" s="34">
        <v>1145</v>
      </c>
      <c r="B133" s="35">
        <v>40059</v>
      </c>
      <c r="C133" s="36">
        <v>39.37</v>
      </c>
      <c r="D133" s="37">
        <v>3</v>
      </c>
      <c r="E133" s="37">
        <v>0</v>
      </c>
      <c r="F133" s="37">
        <v>0</v>
      </c>
      <c r="G133" s="37">
        <v>0</v>
      </c>
      <c r="H133" s="34">
        <v>1</v>
      </c>
      <c r="I133" s="34" cm="1">
        <f t="array" ref="I133">IF(ISBLANK(H133),"",IF(H133,2,IF(G133,1,3)))</f>
        <v>2</v>
      </c>
      <c r="J133" t="str" s="7" cm="1">
        <f t="array" ref="J133">IF(ISBLANK(H133),"",IF(H133,"HER2pos",IF(G133,"HRposHER2neg","TripleNeg")))</f>
        <v>HER2pos</v>
      </c>
      <c r="K133" s="37">
        <v>0</v>
      </c>
      <c r="L133" s="37">
        <v>1</v>
      </c>
      <c r="M133" s="34">
        <v>40</v>
      </c>
      <c r="N133" s="34">
        <v>17</v>
      </c>
      <c r="O133" s="7"/>
      <c r="P133" s="34">
        <v>0</v>
      </c>
    </row>
    <row r="134" ht="13.65" customHeight="1">
      <c r="A134" s="34">
        <v>1146</v>
      </c>
      <c r="B134" s="35">
        <v>40059</v>
      </c>
      <c r="C134" s="36">
        <v>50.15</v>
      </c>
      <c r="D134" s="37">
        <v>1</v>
      </c>
      <c r="E134" s="37">
        <v>1</v>
      </c>
      <c r="F134" s="37">
        <v>1</v>
      </c>
      <c r="G134" s="37">
        <v>1</v>
      </c>
      <c r="H134" s="34">
        <v>0</v>
      </c>
      <c r="I134" s="34" cm="1">
        <f t="array" ref="I134">IF(ISBLANK(H134),"",IF(H134,2,IF(G134,1,3)))</f>
        <v>1</v>
      </c>
      <c r="J134" t="str" s="7" cm="1">
        <f t="array" ref="J134">IF(ISBLANK(H134),"",IF(H134,"HER2pos",IF(G134,"HRposHER2neg","TripleNeg")))</f>
        <v>HRposHER2neg</v>
      </c>
      <c r="K134" s="37">
        <v>0</v>
      </c>
      <c r="L134" s="37">
        <v>1</v>
      </c>
      <c r="M134" s="34">
        <v>72</v>
      </c>
      <c r="N134" s="34">
        <v>59</v>
      </c>
      <c r="O134" s="34">
        <v>48</v>
      </c>
      <c r="P134" s="34">
        <v>30</v>
      </c>
    </row>
    <row r="135" ht="13.65" customHeight="1">
      <c r="A135" s="34">
        <v>1147</v>
      </c>
      <c r="B135" s="35">
        <v>40059</v>
      </c>
      <c r="C135" s="36">
        <v>59.3</v>
      </c>
      <c r="D135" s="37">
        <v>1</v>
      </c>
      <c r="E135" s="37">
        <v>0</v>
      </c>
      <c r="F135" s="37">
        <v>0</v>
      </c>
      <c r="G135" s="37">
        <v>0</v>
      </c>
      <c r="H135" s="34">
        <v>0</v>
      </c>
      <c r="I135" s="34" cm="1">
        <f t="array" ref="I135">IF(ISBLANK(H135),"",IF(H135,2,IF(G135,1,3)))</f>
        <v>3</v>
      </c>
      <c r="J135" t="str" s="7" cm="1">
        <f t="array" ref="J135">IF(ISBLANK(H135),"",IF(H135,"HER2pos",IF(G135,"HRposHER2neg","TripleNeg")))</f>
        <v>TripleNeg</v>
      </c>
      <c r="K135" s="37">
        <v>0</v>
      </c>
      <c r="L135" s="37">
        <v>1</v>
      </c>
      <c r="M135" s="34">
        <v>63</v>
      </c>
      <c r="N135" s="34">
        <v>42</v>
      </c>
      <c r="O135" s="34">
        <v>22</v>
      </c>
      <c r="P135" s="34">
        <v>9</v>
      </c>
    </row>
    <row r="136" ht="13.65" customHeight="1">
      <c r="A136" s="34">
        <v>1148</v>
      </c>
      <c r="B136" s="35">
        <v>40059</v>
      </c>
      <c r="C136" s="36">
        <v>50.81</v>
      </c>
      <c r="D136" s="37">
        <v>1</v>
      </c>
      <c r="E136" s="37">
        <v>0</v>
      </c>
      <c r="F136" s="37">
        <v>0</v>
      </c>
      <c r="G136" s="37">
        <v>0</v>
      </c>
      <c r="H136" s="34">
        <v>1</v>
      </c>
      <c r="I136" s="34" cm="1">
        <f t="array" ref="I136">IF(ISBLANK(H136),"",IF(H136,2,IF(G136,1,3)))</f>
        <v>2</v>
      </c>
      <c r="J136" t="str" s="7" cm="1">
        <f t="array" ref="J136">IF(ISBLANK(H136),"",IF(H136,"HER2pos",IF(G136,"HRposHER2neg","TripleNeg")))</f>
        <v>HER2pos</v>
      </c>
      <c r="K136" s="37">
        <v>0</v>
      </c>
      <c r="L136" s="37">
        <v>2</v>
      </c>
      <c r="M136" s="34">
        <v>47</v>
      </c>
      <c r="N136" s="34">
        <v>39</v>
      </c>
      <c r="O136" s="34">
        <v>35</v>
      </c>
      <c r="P136" s="34">
        <v>0</v>
      </c>
    </row>
    <row r="137" ht="13.65" customHeight="1">
      <c r="A137" s="34">
        <v>1149</v>
      </c>
      <c r="B137" s="35">
        <v>40059</v>
      </c>
      <c r="C137" s="36">
        <v>59.18</v>
      </c>
      <c r="D137" s="37">
        <v>1</v>
      </c>
      <c r="E137" s="37">
        <v>0</v>
      </c>
      <c r="F137" s="37">
        <v>0</v>
      </c>
      <c r="G137" s="37">
        <v>0</v>
      </c>
      <c r="H137" s="34">
        <v>0</v>
      </c>
      <c r="I137" s="34" cm="1">
        <f t="array" ref="I137">IF(ISBLANK(H137),"",IF(H137,2,IF(G137,1,3)))</f>
        <v>3</v>
      </c>
      <c r="J137" t="str" s="7" cm="1">
        <f t="array" ref="J137">IF(ISBLANK(H137),"",IF(H137,"HER2pos",IF(G137,"HRposHER2neg","TripleNeg")))</f>
        <v>TripleNeg</v>
      </c>
      <c r="K137" s="37">
        <v>0</v>
      </c>
      <c r="L137" s="37">
        <v>1</v>
      </c>
      <c r="M137" s="34">
        <v>95</v>
      </c>
      <c r="N137" s="34">
        <v>45</v>
      </c>
      <c r="O137" s="34">
        <v>58</v>
      </c>
      <c r="P137" s="34">
        <v>22</v>
      </c>
    </row>
    <row r="138" ht="13.65" customHeight="1">
      <c r="A138" s="34">
        <v>1150</v>
      </c>
      <c r="B138" s="35">
        <v>40059</v>
      </c>
      <c r="C138" s="36">
        <v>51.49</v>
      </c>
      <c r="D138" s="37">
        <v>1</v>
      </c>
      <c r="E138" s="37">
        <v>1</v>
      </c>
      <c r="F138" s="37">
        <v>1</v>
      </c>
      <c r="G138" s="37">
        <v>1</v>
      </c>
      <c r="H138" s="34">
        <v>0</v>
      </c>
      <c r="I138" s="34" cm="1">
        <f t="array" ref="I138">IF(ISBLANK(H138),"",IF(H138,2,IF(G138,1,3)))</f>
        <v>1</v>
      </c>
      <c r="J138" t="str" s="7" cm="1">
        <f t="array" ref="J138">IF(ISBLANK(H138),"",IF(H138,"HER2pos",IF(G138,"HRposHER2neg","TripleNeg")))</f>
        <v>HRposHER2neg</v>
      </c>
      <c r="K138" s="37">
        <v>0</v>
      </c>
      <c r="L138" s="37">
        <v>2</v>
      </c>
      <c r="M138" s="34">
        <v>76</v>
      </c>
      <c r="N138" s="34">
        <v>74</v>
      </c>
      <c r="O138" s="34">
        <v>63</v>
      </c>
      <c r="P138" s="34">
        <v>61</v>
      </c>
    </row>
    <row r="139" ht="13.65" customHeight="1">
      <c r="A139" s="34">
        <v>1151</v>
      </c>
      <c r="B139" s="35">
        <v>40059</v>
      </c>
      <c r="C139" s="36">
        <v>50.15</v>
      </c>
      <c r="D139" s="37">
        <v>3</v>
      </c>
      <c r="E139" s="37">
        <v>1</v>
      </c>
      <c r="F139" s="37">
        <v>0</v>
      </c>
      <c r="G139" s="37">
        <v>1</v>
      </c>
      <c r="H139" s="34">
        <v>1</v>
      </c>
      <c r="I139" s="34" cm="1">
        <f t="array" ref="I139">IF(ISBLANK(H139),"",IF(H139,2,IF(G139,1,3)))</f>
        <v>2</v>
      </c>
      <c r="J139" t="str" s="7" cm="1">
        <f t="array" ref="J139">IF(ISBLANK(H139),"",IF(H139,"HER2pos",IF(G139,"HRposHER2neg","TripleNeg")))</f>
        <v>HER2pos</v>
      </c>
      <c r="K139" s="37">
        <v>1</v>
      </c>
      <c r="L139" s="37">
        <v>2</v>
      </c>
      <c r="M139" s="34">
        <v>165</v>
      </c>
      <c r="N139" s="34">
        <v>156</v>
      </c>
      <c r="O139" s="34">
        <v>113</v>
      </c>
      <c r="P139" s="34">
        <v>37</v>
      </c>
    </row>
    <row r="140" ht="13.65" customHeight="1">
      <c r="A140" s="34">
        <v>1152</v>
      </c>
      <c r="B140" s="35">
        <v>40059</v>
      </c>
      <c r="C140" s="36">
        <v>51.29</v>
      </c>
      <c r="D140" s="37">
        <v>1</v>
      </c>
      <c r="E140" s="37">
        <v>1</v>
      </c>
      <c r="F140" s="37">
        <v>1</v>
      </c>
      <c r="G140" s="37">
        <v>1</v>
      </c>
      <c r="H140" s="34">
        <v>1</v>
      </c>
      <c r="I140" s="34" cm="1">
        <f t="array" ref="I140">IF(ISBLANK(H140),"",IF(H140,2,IF(G140,1,3)))</f>
        <v>2</v>
      </c>
      <c r="J140" t="str" s="7" cm="1">
        <f t="array" ref="J140">IF(ISBLANK(H140),"",IF(H140,"HER2pos",IF(G140,"HRposHER2neg","TripleNeg")))</f>
        <v>HER2pos</v>
      </c>
      <c r="K140" s="37">
        <v>0</v>
      </c>
      <c r="L140" s="37">
        <v>1</v>
      </c>
      <c r="M140" s="34">
        <v>70</v>
      </c>
      <c r="N140" s="34">
        <v>66</v>
      </c>
      <c r="O140" s="34">
        <v>57</v>
      </c>
      <c r="P140" s="34">
        <v>34</v>
      </c>
    </row>
    <row r="141" ht="13.65" customHeight="1">
      <c r="A141" s="34">
        <v>1154</v>
      </c>
      <c r="B141" s="35">
        <v>40059</v>
      </c>
      <c r="C141" s="36">
        <v>65.45</v>
      </c>
      <c r="D141" s="37">
        <v>1</v>
      </c>
      <c r="E141" s="37">
        <v>1</v>
      </c>
      <c r="F141" s="37">
        <v>1</v>
      </c>
      <c r="G141" s="37">
        <v>1</v>
      </c>
      <c r="H141" s="34">
        <v>0</v>
      </c>
      <c r="I141" s="34" cm="1">
        <f t="array" ref="I141">IF(ISBLANK(H141),"",IF(H141,2,IF(G141,1,3)))</f>
        <v>1</v>
      </c>
      <c r="J141" t="str" s="7" cm="1">
        <f t="array" ref="J141">IF(ISBLANK(H141),"",IF(H141,"HER2pos",IF(G141,"HRposHER2neg","TripleNeg")))</f>
        <v>HRposHER2neg</v>
      </c>
      <c r="K141" s="37">
        <v>0</v>
      </c>
      <c r="L141" s="37">
        <v>1</v>
      </c>
      <c r="M141" s="34">
        <v>42</v>
      </c>
      <c r="N141" s="34">
        <v>34</v>
      </c>
      <c r="O141" s="34">
        <v>28</v>
      </c>
      <c r="P141" s="34">
        <v>19</v>
      </c>
    </row>
    <row r="142" ht="13.65" customHeight="1">
      <c r="A142" s="34">
        <v>1155</v>
      </c>
      <c r="B142" s="35">
        <v>40059</v>
      </c>
      <c r="C142" s="36">
        <v>42.65</v>
      </c>
      <c r="D142" s="37">
        <v>1</v>
      </c>
      <c r="E142" s="37">
        <v>0</v>
      </c>
      <c r="F142" s="37">
        <v>0</v>
      </c>
      <c r="G142" s="37">
        <v>0</v>
      </c>
      <c r="H142" s="34">
        <v>0</v>
      </c>
      <c r="I142" s="34" cm="1">
        <f t="array" ref="I142">IF(ISBLANK(H142),"",IF(H142,2,IF(G142,1,3)))</f>
        <v>3</v>
      </c>
      <c r="J142" t="str" s="7" cm="1">
        <f t="array" ref="J142">IF(ISBLANK(H142),"",IF(H142,"HER2pos",IF(G142,"HRposHER2neg","TripleNeg")))</f>
        <v>TripleNeg</v>
      </c>
      <c r="K142" s="37">
        <v>0</v>
      </c>
      <c r="L142" s="37">
        <v>1</v>
      </c>
      <c r="M142" s="34">
        <v>87</v>
      </c>
      <c r="N142" s="34">
        <v>71</v>
      </c>
      <c r="O142" s="34">
        <v>79</v>
      </c>
      <c r="P142" s="34">
        <v>61</v>
      </c>
    </row>
    <row r="143" ht="13.65" customHeight="1">
      <c r="A143" s="34">
        <v>1156</v>
      </c>
      <c r="B143" s="35">
        <v>40059</v>
      </c>
      <c r="C143" s="36">
        <v>65.39</v>
      </c>
      <c r="D143" s="37">
        <v>1</v>
      </c>
      <c r="E143" s="37">
        <v>0</v>
      </c>
      <c r="F143" s="37">
        <v>0</v>
      </c>
      <c r="G143" s="37">
        <v>0</v>
      </c>
      <c r="H143" s="34">
        <v>1</v>
      </c>
      <c r="I143" s="34" cm="1">
        <f t="array" ref="I143">IF(ISBLANK(H143),"",IF(H143,2,IF(G143,1,3)))</f>
        <v>2</v>
      </c>
      <c r="J143" t="str" s="7" cm="1">
        <f t="array" ref="J143">IF(ISBLANK(H143),"",IF(H143,"HER2pos",IF(G143,"HRposHER2neg","TripleNeg")))</f>
        <v>HER2pos</v>
      </c>
      <c r="K143" s="37">
        <v>0</v>
      </c>
      <c r="L143" s="37">
        <v>2</v>
      </c>
      <c r="M143" s="34">
        <v>70</v>
      </c>
      <c r="N143" s="34">
        <v>66</v>
      </c>
      <c r="O143" s="34">
        <v>54</v>
      </c>
      <c r="P143" s="34">
        <v>0</v>
      </c>
    </row>
    <row r="144" ht="13.65" customHeight="1">
      <c r="A144" s="34">
        <v>1157</v>
      </c>
      <c r="B144" s="35">
        <v>40059</v>
      </c>
      <c r="C144" s="36">
        <v>41.39</v>
      </c>
      <c r="D144" s="37">
        <v>1</v>
      </c>
      <c r="E144" s="37">
        <v>0</v>
      </c>
      <c r="F144" s="37">
        <v>0</v>
      </c>
      <c r="G144" s="37">
        <v>0</v>
      </c>
      <c r="H144" s="34">
        <v>1</v>
      </c>
      <c r="I144" s="34" cm="1">
        <f t="array" ref="I144">IF(ISBLANK(H144),"",IF(H144,2,IF(G144,1,3)))</f>
        <v>2</v>
      </c>
      <c r="J144" t="str" s="7" cm="1">
        <f t="array" ref="J144">IF(ISBLANK(H144),"",IF(H144,"HER2pos",IF(G144,"HRposHER2neg","TripleNeg")))</f>
        <v>HER2pos</v>
      </c>
      <c r="K144" s="37">
        <v>0</v>
      </c>
      <c r="L144" s="37">
        <v>2</v>
      </c>
      <c r="M144" s="34">
        <v>61</v>
      </c>
      <c r="N144" s="34">
        <v>63</v>
      </c>
      <c r="O144" s="34">
        <v>33</v>
      </c>
      <c r="P144" s="34">
        <v>33</v>
      </c>
    </row>
    <row r="145" ht="13.65" customHeight="1">
      <c r="A145" s="34">
        <v>1158</v>
      </c>
      <c r="B145" s="35">
        <v>40059</v>
      </c>
      <c r="C145" s="36">
        <v>61.79</v>
      </c>
      <c r="D145" s="37">
        <v>1</v>
      </c>
      <c r="E145" s="37">
        <v>1</v>
      </c>
      <c r="F145" s="37">
        <v>1</v>
      </c>
      <c r="G145" s="37">
        <v>1</v>
      </c>
      <c r="H145" s="34">
        <v>0</v>
      </c>
      <c r="I145" s="34" cm="1">
        <f t="array" ref="I145">IF(ISBLANK(H145),"",IF(H145,2,IF(G145,1,3)))</f>
        <v>1</v>
      </c>
      <c r="J145" t="str" s="7" cm="1">
        <f t="array" ref="J145">IF(ISBLANK(H145),"",IF(H145,"HER2pos",IF(G145,"HRposHER2neg","TripleNeg")))</f>
        <v>HRposHER2neg</v>
      </c>
      <c r="K145" s="37">
        <v>0</v>
      </c>
      <c r="L145" s="37">
        <v>2</v>
      </c>
      <c r="M145" s="34">
        <v>28</v>
      </c>
      <c r="N145" s="34">
        <v>19</v>
      </c>
      <c r="O145" s="34">
        <v>11</v>
      </c>
      <c r="P145" s="34">
        <v>4</v>
      </c>
    </row>
    <row r="146" ht="13.65" customHeight="1">
      <c r="A146" s="34">
        <v>1159</v>
      </c>
      <c r="B146" s="35">
        <v>40059</v>
      </c>
      <c r="C146" s="36">
        <v>55.95</v>
      </c>
      <c r="D146" s="37">
        <v>3</v>
      </c>
      <c r="E146" s="7"/>
      <c r="F146" s="7"/>
      <c r="G146" s="7"/>
      <c r="H146" s="7"/>
      <c r="I146" t="str" s="7" cm="1">
        <f t="array" ref="I146">IF(ISBLANK(H146),"",IF(H146,2,IF(G146,1,3)))</f>
      </c>
      <c r="J146" t="str" s="7" cm="1">
        <f t="array" ref="J146">IF(ISBLANK(H146),"",IF(H146,"HER2pos",IF(G146,"HRposHER2neg","TripleNeg")))</f>
      </c>
      <c r="K146" s="37">
        <v>0</v>
      </c>
      <c r="L146" s="37">
        <v>2</v>
      </c>
      <c r="M146" s="34">
        <v>65</v>
      </c>
      <c r="N146" s="34">
        <v>54</v>
      </c>
      <c r="O146" s="34">
        <v>54</v>
      </c>
      <c r="P146" s="34">
        <v>54</v>
      </c>
    </row>
    <row r="147" ht="13.65" customHeight="1">
      <c r="A147" s="34">
        <v>1160</v>
      </c>
      <c r="B147" s="35">
        <v>40059</v>
      </c>
      <c r="C147" s="36">
        <v>55.65</v>
      </c>
      <c r="D147" s="37">
        <v>1</v>
      </c>
      <c r="E147" s="37">
        <v>0</v>
      </c>
      <c r="F147" s="37">
        <v>0</v>
      </c>
      <c r="G147" s="37">
        <v>0</v>
      </c>
      <c r="H147" s="34">
        <v>0</v>
      </c>
      <c r="I147" s="34" cm="1">
        <f t="array" ref="I147">IF(ISBLANK(H147),"",IF(H147,2,IF(G147,1,3)))</f>
        <v>3</v>
      </c>
      <c r="J147" t="str" s="7" cm="1">
        <f t="array" ref="J147">IF(ISBLANK(H147),"",IF(H147,"HER2pos",IF(G147,"HRposHER2neg","TripleNeg")))</f>
        <v>TripleNeg</v>
      </c>
      <c r="K147" s="37">
        <v>0</v>
      </c>
      <c r="L147" s="37">
        <v>2</v>
      </c>
      <c r="M147" s="34">
        <v>77</v>
      </c>
      <c r="N147" s="34">
        <v>72</v>
      </c>
      <c r="O147" s="7"/>
      <c r="P147" s="34">
        <v>38</v>
      </c>
    </row>
    <row r="148" ht="13.65" customHeight="1">
      <c r="A148" s="34">
        <v>1161</v>
      </c>
      <c r="B148" s="35">
        <v>40059</v>
      </c>
      <c r="C148" s="36">
        <v>56.83</v>
      </c>
      <c r="D148" s="37">
        <v>1</v>
      </c>
      <c r="E148" s="37">
        <v>0</v>
      </c>
      <c r="F148" s="37">
        <v>0</v>
      </c>
      <c r="G148" s="37">
        <v>0</v>
      </c>
      <c r="H148" s="34">
        <v>1</v>
      </c>
      <c r="I148" s="34" cm="1">
        <f t="array" ref="I148">IF(ISBLANK(H148),"",IF(H148,2,IF(G148,1,3)))</f>
        <v>2</v>
      </c>
      <c r="J148" t="str" s="7" cm="1">
        <f t="array" ref="J148">IF(ISBLANK(H148),"",IF(H148,"HER2pos",IF(G148,"HRposHER2neg","TripleNeg")))</f>
        <v>HER2pos</v>
      </c>
      <c r="K148" s="37">
        <v>0</v>
      </c>
      <c r="L148" s="37">
        <v>1</v>
      </c>
      <c r="M148" s="34">
        <v>81</v>
      </c>
      <c r="N148" s="34">
        <v>63</v>
      </c>
      <c r="O148" s="34">
        <v>18</v>
      </c>
      <c r="P148" s="34">
        <v>0</v>
      </c>
    </row>
    <row r="149" ht="13.65" customHeight="1">
      <c r="A149" s="34">
        <v>1162</v>
      </c>
      <c r="B149" s="35">
        <v>40059</v>
      </c>
      <c r="C149" s="36">
        <v>56.44</v>
      </c>
      <c r="D149" s="37">
        <v>3</v>
      </c>
      <c r="E149" s="37">
        <v>0</v>
      </c>
      <c r="F149" s="37">
        <v>0</v>
      </c>
      <c r="G149" s="37">
        <v>0</v>
      </c>
      <c r="H149" s="34">
        <v>1</v>
      </c>
      <c r="I149" s="34" cm="1">
        <f t="array" ref="I149">IF(ISBLANK(H149),"",IF(H149,2,IF(G149,1,3)))</f>
        <v>2</v>
      </c>
      <c r="J149" t="str" s="7" cm="1">
        <f t="array" ref="J149">IF(ISBLANK(H149),"",IF(H149,"HER2pos",IF(G149,"HRposHER2neg","TripleNeg")))</f>
        <v>HER2pos</v>
      </c>
      <c r="K149" s="37">
        <v>0</v>
      </c>
      <c r="L149" s="37">
        <v>1</v>
      </c>
      <c r="M149" s="34">
        <v>101</v>
      </c>
      <c r="N149" s="34">
        <v>86</v>
      </c>
      <c r="O149" s="34">
        <v>69</v>
      </c>
      <c r="P149" s="34">
        <v>15</v>
      </c>
    </row>
    <row r="150" ht="13.65" customHeight="1">
      <c r="A150" s="34">
        <v>1163</v>
      </c>
      <c r="B150" s="35">
        <v>40059</v>
      </c>
      <c r="C150" s="36">
        <v>38.85</v>
      </c>
      <c r="D150" s="37">
        <v>1</v>
      </c>
      <c r="E150" s="37">
        <v>0</v>
      </c>
      <c r="F150" s="37">
        <v>0</v>
      </c>
      <c r="G150" s="37">
        <v>0</v>
      </c>
      <c r="H150" s="34">
        <v>0</v>
      </c>
      <c r="I150" s="34" cm="1">
        <f t="array" ref="I150">IF(ISBLANK(H150),"",IF(H150,2,IF(G150,1,3)))</f>
        <v>3</v>
      </c>
      <c r="J150" t="str" s="7" cm="1">
        <f t="array" ref="J150">IF(ISBLANK(H150),"",IF(H150,"HER2pos",IF(G150,"HRposHER2neg","TripleNeg")))</f>
        <v>TripleNeg</v>
      </c>
      <c r="K150" s="37">
        <v>0</v>
      </c>
      <c r="L150" s="37">
        <v>1</v>
      </c>
      <c r="M150" s="34">
        <v>33</v>
      </c>
      <c r="N150" s="34">
        <v>41</v>
      </c>
      <c r="O150" s="34">
        <v>11</v>
      </c>
      <c r="P150" s="34">
        <v>0</v>
      </c>
    </row>
    <row r="151" ht="13.65" customHeight="1">
      <c r="A151" s="34">
        <v>1164</v>
      </c>
      <c r="B151" s="35">
        <v>40059</v>
      </c>
      <c r="C151" s="36">
        <v>60.11</v>
      </c>
      <c r="D151" s="37">
        <v>1</v>
      </c>
      <c r="E151" s="37">
        <v>1</v>
      </c>
      <c r="F151" s="37">
        <v>1</v>
      </c>
      <c r="G151" s="37">
        <v>1</v>
      </c>
      <c r="H151" s="34">
        <v>0</v>
      </c>
      <c r="I151" s="34" cm="1">
        <f t="array" ref="I151">IF(ISBLANK(H151),"",IF(H151,2,IF(G151,1,3)))</f>
        <v>1</v>
      </c>
      <c r="J151" t="str" s="7" cm="1">
        <f t="array" ref="J151">IF(ISBLANK(H151),"",IF(H151,"HER2pos",IF(G151,"HRposHER2neg","TripleNeg")))</f>
        <v>HRposHER2neg</v>
      </c>
      <c r="K151" s="37">
        <v>0</v>
      </c>
      <c r="L151" s="37">
        <v>1</v>
      </c>
      <c r="M151" s="34">
        <v>35</v>
      </c>
      <c r="N151" s="34">
        <v>31</v>
      </c>
      <c r="O151" s="34">
        <v>31</v>
      </c>
      <c r="P151" s="34">
        <v>10</v>
      </c>
    </row>
    <row r="152" ht="13.65" customHeight="1">
      <c r="A152" s="34">
        <v>1165</v>
      </c>
      <c r="B152" s="35">
        <v>40059</v>
      </c>
      <c r="C152" s="36">
        <v>39.66</v>
      </c>
      <c r="D152" s="37">
        <v>1</v>
      </c>
      <c r="E152" s="37">
        <v>0</v>
      </c>
      <c r="F152" s="37">
        <v>0</v>
      </c>
      <c r="G152" s="37">
        <v>0</v>
      </c>
      <c r="H152" s="34">
        <v>0</v>
      </c>
      <c r="I152" s="34" cm="1">
        <f t="array" ref="I152">IF(ISBLANK(H152),"",IF(H152,2,IF(G152,1,3)))</f>
        <v>3</v>
      </c>
      <c r="J152" t="str" s="7" cm="1">
        <f t="array" ref="J152">IF(ISBLANK(H152),"",IF(H152,"HER2pos",IF(G152,"HRposHER2neg","TripleNeg")))</f>
        <v>TripleNeg</v>
      </c>
      <c r="K152" s="37">
        <v>0</v>
      </c>
      <c r="L152" s="37">
        <v>1</v>
      </c>
      <c r="M152" s="34">
        <v>88</v>
      </c>
      <c r="N152" s="34">
        <v>75</v>
      </c>
      <c r="O152" s="34">
        <v>70</v>
      </c>
      <c r="P152" s="34">
        <v>7</v>
      </c>
    </row>
    <row r="153" ht="13.65" customHeight="1">
      <c r="A153" s="34">
        <v>1166</v>
      </c>
      <c r="B153" s="35">
        <v>40059</v>
      </c>
      <c r="C153" s="36">
        <v>54.43</v>
      </c>
      <c r="D153" s="37">
        <v>1</v>
      </c>
      <c r="E153" s="37">
        <v>1</v>
      </c>
      <c r="F153" s="37">
        <v>1</v>
      </c>
      <c r="G153" s="37">
        <v>1</v>
      </c>
      <c r="H153" s="34">
        <v>0</v>
      </c>
      <c r="I153" s="34" cm="1">
        <f t="array" ref="I153">IF(ISBLANK(H153),"",IF(H153,2,IF(G153,1,3)))</f>
        <v>1</v>
      </c>
      <c r="J153" t="str" s="7" cm="1">
        <f t="array" ref="J153">IF(ISBLANK(H153),"",IF(H153,"HER2pos",IF(G153,"HRposHER2neg","TripleNeg")))</f>
        <v>HRposHER2neg</v>
      </c>
      <c r="K153" s="37">
        <v>0</v>
      </c>
      <c r="L153" s="37">
        <v>1</v>
      </c>
      <c r="M153" s="34">
        <v>58</v>
      </c>
      <c r="N153" s="34">
        <v>62</v>
      </c>
      <c r="O153" s="34">
        <v>0</v>
      </c>
      <c r="P153" s="34">
        <v>0</v>
      </c>
    </row>
    <row r="154" ht="13.65" customHeight="1">
      <c r="A154" s="34">
        <v>1167</v>
      </c>
      <c r="B154" s="35">
        <v>40059</v>
      </c>
      <c r="C154" s="36">
        <v>50.63</v>
      </c>
      <c r="D154" s="37">
        <v>1</v>
      </c>
      <c r="E154" s="37">
        <v>1</v>
      </c>
      <c r="F154" s="37">
        <v>1</v>
      </c>
      <c r="G154" s="37">
        <v>1</v>
      </c>
      <c r="H154" s="34">
        <v>1</v>
      </c>
      <c r="I154" s="34" cm="1">
        <f t="array" ref="I154">IF(ISBLANK(H154),"",IF(H154,2,IF(G154,1,3)))</f>
        <v>2</v>
      </c>
      <c r="J154" t="str" s="7" cm="1">
        <f t="array" ref="J154">IF(ISBLANK(H154),"",IF(H154,"HER2pos",IF(G154,"HRposHER2neg","TripleNeg")))</f>
        <v>HER2pos</v>
      </c>
      <c r="K154" s="37">
        <v>0</v>
      </c>
      <c r="L154" s="37">
        <v>2</v>
      </c>
      <c r="M154" s="34">
        <v>102</v>
      </c>
      <c r="N154" s="34">
        <v>96</v>
      </c>
      <c r="O154" s="34">
        <v>17</v>
      </c>
      <c r="P154" s="34">
        <v>7</v>
      </c>
    </row>
    <row r="155" ht="13.65" customHeight="1">
      <c r="A155" s="34">
        <v>1168</v>
      </c>
      <c r="B155" s="35">
        <v>40059</v>
      </c>
      <c r="C155" s="36">
        <v>44.59</v>
      </c>
      <c r="D155" s="37">
        <v>1</v>
      </c>
      <c r="E155" s="37">
        <v>0</v>
      </c>
      <c r="F155" s="37">
        <v>0</v>
      </c>
      <c r="G155" s="37">
        <v>0</v>
      </c>
      <c r="H155" s="34">
        <v>0</v>
      </c>
      <c r="I155" s="34" cm="1">
        <f t="array" ref="I155">IF(ISBLANK(H155),"",IF(H155,2,IF(G155,1,3)))</f>
        <v>3</v>
      </c>
      <c r="J155" t="str" s="7" cm="1">
        <f t="array" ref="J155">IF(ISBLANK(H155),"",IF(H155,"HER2pos",IF(G155,"HRposHER2neg","TripleNeg")))</f>
        <v>TripleNeg</v>
      </c>
      <c r="K155" s="37">
        <v>0</v>
      </c>
      <c r="L155" s="37">
        <v>1</v>
      </c>
      <c r="M155" s="34">
        <v>36</v>
      </c>
      <c r="N155" s="34">
        <v>36</v>
      </c>
      <c r="O155" s="34">
        <v>24</v>
      </c>
      <c r="P155" s="34">
        <v>39</v>
      </c>
    </row>
    <row r="156" ht="13.65" customHeight="1">
      <c r="A156" s="34">
        <v>1169</v>
      </c>
      <c r="B156" s="35">
        <v>40059</v>
      </c>
      <c r="C156" s="36">
        <v>44.15</v>
      </c>
      <c r="D156" s="37">
        <v>1</v>
      </c>
      <c r="E156" s="37">
        <v>0</v>
      </c>
      <c r="F156" s="37">
        <v>0</v>
      </c>
      <c r="G156" s="37">
        <v>0</v>
      </c>
      <c r="H156" s="34">
        <v>0</v>
      </c>
      <c r="I156" s="34" cm="1">
        <f t="array" ref="I156">IF(ISBLANK(H156),"",IF(H156,2,IF(G156,1,3)))</f>
        <v>3</v>
      </c>
      <c r="J156" t="str" s="7" cm="1">
        <f t="array" ref="J156">IF(ISBLANK(H156),"",IF(H156,"HER2pos",IF(G156,"HRposHER2neg","TripleNeg")))</f>
        <v>TripleNeg</v>
      </c>
      <c r="K156" s="37">
        <v>0</v>
      </c>
      <c r="L156" s="37">
        <v>1</v>
      </c>
      <c r="M156" s="34">
        <v>82</v>
      </c>
      <c r="N156" s="34">
        <v>82</v>
      </c>
      <c r="O156" s="34">
        <v>70</v>
      </c>
      <c r="P156" s="34">
        <v>42</v>
      </c>
    </row>
    <row r="157" ht="13.65" customHeight="1">
      <c r="A157" s="34">
        <v>1170</v>
      </c>
      <c r="B157" s="35">
        <v>40059</v>
      </c>
      <c r="C157" s="36">
        <v>44.35</v>
      </c>
      <c r="D157" s="37">
        <v>1</v>
      </c>
      <c r="E157" s="37">
        <v>1</v>
      </c>
      <c r="F157" s="37">
        <v>1</v>
      </c>
      <c r="G157" s="37">
        <v>1</v>
      </c>
      <c r="H157" s="34">
        <v>0</v>
      </c>
      <c r="I157" s="34" cm="1">
        <f t="array" ref="I157">IF(ISBLANK(H157),"",IF(H157,2,IF(G157,1,3)))</f>
        <v>1</v>
      </c>
      <c r="J157" t="str" s="7" cm="1">
        <f t="array" ref="J157">IF(ISBLANK(H157),"",IF(H157,"HER2pos",IF(G157,"HRposHER2neg","TripleNeg")))</f>
        <v>HRposHER2neg</v>
      </c>
      <c r="K157" s="37">
        <v>0</v>
      </c>
      <c r="L157" s="37">
        <v>1</v>
      </c>
      <c r="M157" s="34">
        <v>50</v>
      </c>
      <c r="N157" s="34">
        <v>60</v>
      </c>
      <c r="O157" s="34">
        <v>83</v>
      </c>
      <c r="P157" s="34">
        <v>75</v>
      </c>
    </row>
    <row r="158" ht="13.65" customHeight="1">
      <c r="A158" s="34">
        <v>1171</v>
      </c>
      <c r="B158" s="35">
        <v>40059</v>
      </c>
      <c r="C158" s="36">
        <v>50.98</v>
      </c>
      <c r="D158" s="37">
        <v>1</v>
      </c>
      <c r="E158" s="37">
        <v>0</v>
      </c>
      <c r="F158" s="37">
        <v>0</v>
      </c>
      <c r="G158" s="37">
        <v>0</v>
      </c>
      <c r="H158" s="34">
        <v>1</v>
      </c>
      <c r="I158" s="34" cm="1">
        <f t="array" ref="I158">IF(ISBLANK(H158),"",IF(H158,2,IF(G158,1,3)))</f>
        <v>2</v>
      </c>
      <c r="J158" t="str" s="7" cm="1">
        <f t="array" ref="J158">IF(ISBLANK(H158),"",IF(H158,"HER2pos",IF(G158,"HRposHER2neg","TripleNeg")))</f>
        <v>HER2pos</v>
      </c>
      <c r="K158" s="37">
        <v>0</v>
      </c>
      <c r="L158" s="37">
        <v>2</v>
      </c>
      <c r="M158" s="34">
        <v>48</v>
      </c>
      <c r="N158" s="34">
        <v>34</v>
      </c>
      <c r="O158" s="34">
        <v>31</v>
      </c>
      <c r="P158" s="34">
        <v>16</v>
      </c>
    </row>
    <row r="159" ht="13.65" customHeight="1">
      <c r="A159" s="34">
        <v>1172</v>
      </c>
      <c r="B159" s="35">
        <v>40059</v>
      </c>
      <c r="C159" s="36">
        <v>44.59</v>
      </c>
      <c r="D159" s="37">
        <v>1</v>
      </c>
      <c r="E159" s="37">
        <v>0</v>
      </c>
      <c r="F159" s="37">
        <v>0</v>
      </c>
      <c r="G159" s="37">
        <v>0</v>
      </c>
      <c r="H159" s="34">
        <v>0</v>
      </c>
      <c r="I159" s="34" cm="1">
        <f t="array" ref="I159">IF(ISBLANK(H159),"",IF(H159,2,IF(G159,1,3)))</f>
        <v>3</v>
      </c>
      <c r="J159" t="str" s="7" cm="1">
        <f t="array" ref="J159">IF(ISBLANK(H159),"",IF(H159,"HER2pos",IF(G159,"HRposHER2neg","TripleNeg")))</f>
        <v>TripleNeg</v>
      </c>
      <c r="K159" s="37">
        <v>0</v>
      </c>
      <c r="L159" s="37">
        <v>1</v>
      </c>
      <c r="M159" s="34">
        <v>41</v>
      </c>
      <c r="N159" s="34">
        <v>40</v>
      </c>
      <c r="O159" s="34">
        <v>22</v>
      </c>
      <c r="P159" s="34">
        <v>10</v>
      </c>
    </row>
    <row r="160" ht="13.65" customHeight="1">
      <c r="A160" s="34">
        <v>1173</v>
      </c>
      <c r="B160" s="35">
        <v>40059</v>
      </c>
      <c r="C160" s="36">
        <v>43.96</v>
      </c>
      <c r="D160" s="37">
        <v>3</v>
      </c>
      <c r="E160" s="7"/>
      <c r="F160" s="7"/>
      <c r="G160" s="7"/>
      <c r="H160" s="7"/>
      <c r="I160" t="str" s="7" cm="1">
        <f t="array" ref="I160">IF(ISBLANK(H160),"",IF(H160,2,IF(G160,1,3)))</f>
      </c>
      <c r="J160" t="str" s="7" cm="1">
        <f t="array" ref="J160">IF(ISBLANK(H160),"",IF(H160,"HER2pos",IF(G160,"HRposHER2neg","TripleNeg")))</f>
      </c>
      <c r="K160" s="37">
        <v>0</v>
      </c>
      <c r="L160" s="37">
        <v>1</v>
      </c>
      <c r="M160" s="34">
        <v>21</v>
      </c>
      <c r="N160" s="7"/>
      <c r="O160" s="34">
        <v>0</v>
      </c>
      <c r="P160" s="34">
        <v>0</v>
      </c>
    </row>
    <row r="161" ht="13.65" customHeight="1">
      <c r="A161" s="34">
        <v>1174</v>
      </c>
      <c r="B161" s="35">
        <v>40059</v>
      </c>
      <c r="C161" s="36">
        <v>49.1</v>
      </c>
      <c r="D161" s="37">
        <v>1</v>
      </c>
      <c r="E161" s="37">
        <v>1</v>
      </c>
      <c r="F161" s="37">
        <v>1</v>
      </c>
      <c r="G161" s="37">
        <v>1</v>
      </c>
      <c r="H161" s="34">
        <v>0</v>
      </c>
      <c r="I161" s="34" cm="1">
        <f t="array" ref="I161">IF(ISBLANK(H161),"",IF(H161,2,IF(G161,1,3)))</f>
        <v>1</v>
      </c>
      <c r="J161" t="str" s="7" cm="1">
        <f t="array" ref="J161">IF(ISBLANK(H161),"",IF(H161,"HER2pos",IF(G161,"HRposHER2neg","TripleNeg")))</f>
        <v>HRposHER2neg</v>
      </c>
      <c r="K161" s="37">
        <v>0</v>
      </c>
      <c r="L161" s="37">
        <v>1</v>
      </c>
      <c r="M161" s="34">
        <v>83</v>
      </c>
      <c r="N161" s="34">
        <v>83</v>
      </c>
      <c r="O161" s="34">
        <v>75</v>
      </c>
      <c r="P161" s="34">
        <v>75</v>
      </c>
    </row>
    <row r="162" ht="13.65" customHeight="1">
      <c r="A162" s="34">
        <v>1175</v>
      </c>
      <c r="B162" s="35">
        <v>40059</v>
      </c>
      <c r="C162" s="36">
        <v>64.33</v>
      </c>
      <c r="D162" s="37">
        <v>1</v>
      </c>
      <c r="E162" s="37">
        <v>1</v>
      </c>
      <c r="F162" s="37">
        <v>1</v>
      </c>
      <c r="G162" s="37">
        <v>1</v>
      </c>
      <c r="H162" s="34">
        <v>0</v>
      </c>
      <c r="I162" s="34" cm="1">
        <f t="array" ref="I162">IF(ISBLANK(H162),"",IF(H162,2,IF(G162,1,3)))</f>
        <v>1</v>
      </c>
      <c r="J162" t="str" s="7" cm="1">
        <f t="array" ref="J162">IF(ISBLANK(H162),"",IF(H162,"HER2pos",IF(G162,"HRposHER2neg","TripleNeg")))</f>
        <v>HRposHER2neg</v>
      </c>
      <c r="K162" s="37">
        <v>0</v>
      </c>
      <c r="L162" s="37">
        <v>2</v>
      </c>
      <c r="M162" s="34">
        <v>68</v>
      </c>
      <c r="N162" s="34">
        <v>65</v>
      </c>
      <c r="O162" s="34">
        <v>60</v>
      </c>
      <c r="P162" s="34">
        <v>56</v>
      </c>
    </row>
    <row r="163" ht="13.65" customHeight="1">
      <c r="A163" s="34">
        <v>1176</v>
      </c>
      <c r="B163" s="35">
        <v>40059</v>
      </c>
      <c r="C163" s="36">
        <v>47.58</v>
      </c>
      <c r="D163" s="37">
        <v>1</v>
      </c>
      <c r="E163" s="37">
        <v>0</v>
      </c>
      <c r="F163" s="37">
        <v>0</v>
      </c>
      <c r="G163" s="37">
        <v>0</v>
      </c>
      <c r="H163" s="34">
        <v>1</v>
      </c>
      <c r="I163" s="34" cm="1">
        <f t="array" ref="I163">IF(ISBLANK(H163),"",IF(H163,2,IF(G163,1,3)))</f>
        <v>2</v>
      </c>
      <c r="J163" t="str" s="7" cm="1">
        <f t="array" ref="J163">IF(ISBLANK(H163),"",IF(H163,"HER2pos",IF(G163,"HRposHER2neg","TripleNeg")))</f>
        <v>HER2pos</v>
      </c>
      <c r="K163" s="37">
        <v>0</v>
      </c>
      <c r="L163" s="37">
        <v>1</v>
      </c>
      <c r="M163" s="34">
        <v>43</v>
      </c>
      <c r="N163" s="34">
        <v>38</v>
      </c>
      <c r="O163" s="7"/>
      <c r="P163" s="7"/>
    </row>
    <row r="164" ht="13.65" customHeight="1">
      <c r="A164" s="34">
        <v>1177</v>
      </c>
      <c r="B164" s="35">
        <v>40059</v>
      </c>
      <c r="C164" s="36">
        <v>40.79</v>
      </c>
      <c r="D164" s="37">
        <v>1</v>
      </c>
      <c r="E164" s="37">
        <v>0</v>
      </c>
      <c r="F164" s="37">
        <v>0</v>
      </c>
      <c r="G164" s="37">
        <v>0</v>
      </c>
      <c r="H164" s="34">
        <v>1</v>
      </c>
      <c r="I164" s="34" cm="1">
        <f t="array" ref="I164">IF(ISBLANK(H164),"",IF(H164,2,IF(G164,1,3)))</f>
        <v>2</v>
      </c>
      <c r="J164" t="str" s="7" cm="1">
        <f t="array" ref="J164">IF(ISBLANK(H164),"",IF(H164,"HER2pos",IF(G164,"HRposHER2neg","TripleNeg")))</f>
        <v>HER2pos</v>
      </c>
      <c r="K164" s="37">
        <v>0</v>
      </c>
      <c r="L164" s="37">
        <v>2</v>
      </c>
      <c r="M164" s="34">
        <v>57</v>
      </c>
      <c r="N164" s="34">
        <v>11</v>
      </c>
      <c r="O164" s="34">
        <v>0</v>
      </c>
      <c r="P164" s="34">
        <v>0</v>
      </c>
    </row>
    <row r="165" ht="13.65" customHeight="1">
      <c r="A165" s="34">
        <v>1179</v>
      </c>
      <c r="B165" s="35">
        <v>40059</v>
      </c>
      <c r="C165" s="36">
        <v>49.61</v>
      </c>
      <c r="D165" s="37">
        <v>1</v>
      </c>
      <c r="E165" s="37">
        <v>0</v>
      </c>
      <c r="F165" s="37">
        <v>0</v>
      </c>
      <c r="G165" s="37">
        <v>0</v>
      </c>
      <c r="H165" s="34">
        <v>0</v>
      </c>
      <c r="I165" s="34" cm="1">
        <f t="array" ref="I165">IF(ISBLANK(H165),"",IF(H165,2,IF(G165,1,3)))</f>
        <v>3</v>
      </c>
      <c r="J165" t="str" s="7" cm="1">
        <f t="array" ref="J165">IF(ISBLANK(H165),"",IF(H165,"HER2pos",IF(G165,"HRposHER2neg","TripleNeg")))</f>
        <v>TripleNeg</v>
      </c>
      <c r="K165" s="37">
        <v>0</v>
      </c>
      <c r="L165" s="37">
        <v>1</v>
      </c>
      <c r="M165" s="34">
        <v>61</v>
      </c>
      <c r="N165" s="34">
        <v>59</v>
      </c>
      <c r="O165" s="34">
        <v>55</v>
      </c>
      <c r="P165" s="34">
        <v>23</v>
      </c>
    </row>
    <row r="166" ht="13.65" customHeight="1">
      <c r="A166" s="34">
        <v>1180</v>
      </c>
      <c r="B166" s="35">
        <v>40059</v>
      </c>
      <c r="C166" s="36">
        <v>31.45</v>
      </c>
      <c r="D166" s="37">
        <v>1</v>
      </c>
      <c r="E166" s="37">
        <v>1</v>
      </c>
      <c r="F166" s="37">
        <v>1</v>
      </c>
      <c r="G166" s="37">
        <v>1</v>
      </c>
      <c r="H166" s="34">
        <v>0</v>
      </c>
      <c r="I166" s="34" cm="1">
        <f t="array" ref="I166">IF(ISBLANK(H166),"",IF(H166,2,IF(G166,1,3)))</f>
        <v>1</v>
      </c>
      <c r="J166" t="str" s="7" cm="1">
        <f t="array" ref="J166">IF(ISBLANK(H166),"",IF(H166,"HER2pos",IF(G166,"HRposHER2neg","TripleNeg")))</f>
        <v>HRposHER2neg</v>
      </c>
      <c r="K166" s="37">
        <v>0</v>
      </c>
      <c r="L166" s="37">
        <v>1</v>
      </c>
      <c r="M166" s="34">
        <v>47</v>
      </c>
      <c r="N166" s="34">
        <v>16</v>
      </c>
      <c r="O166" s="34">
        <v>40</v>
      </c>
      <c r="P166" s="34">
        <v>4</v>
      </c>
    </row>
    <row r="167" ht="13.65" customHeight="1">
      <c r="A167" s="34">
        <v>1181</v>
      </c>
      <c r="B167" s="35">
        <v>40059</v>
      </c>
      <c r="C167" s="36">
        <v>34.71</v>
      </c>
      <c r="D167" s="37">
        <v>1</v>
      </c>
      <c r="E167" s="37">
        <v>1</v>
      </c>
      <c r="F167" s="37">
        <v>1</v>
      </c>
      <c r="G167" s="37">
        <v>1</v>
      </c>
      <c r="H167" s="34">
        <v>0</v>
      </c>
      <c r="I167" s="34" cm="1">
        <f t="array" ref="I167">IF(ISBLANK(H167),"",IF(H167,2,IF(G167,1,3)))</f>
        <v>1</v>
      </c>
      <c r="J167" t="str" s="7" cm="1">
        <f t="array" ref="J167">IF(ISBLANK(H167),"",IF(H167,"HER2pos",IF(G167,"HRposHER2neg","TripleNeg")))</f>
        <v>HRposHER2neg</v>
      </c>
      <c r="K167" s="37">
        <v>0</v>
      </c>
      <c r="L167" s="37">
        <v>2</v>
      </c>
      <c r="M167" s="34">
        <v>114</v>
      </c>
      <c r="N167" s="34">
        <v>118</v>
      </c>
      <c r="O167" s="34">
        <v>77</v>
      </c>
      <c r="P167" s="34">
        <v>76</v>
      </c>
    </row>
    <row r="168" ht="13.65" customHeight="1">
      <c r="A168" s="34">
        <v>1182</v>
      </c>
      <c r="B168" s="35">
        <v>40059</v>
      </c>
      <c r="C168" s="36">
        <v>42.24</v>
      </c>
      <c r="D168" s="37">
        <v>1</v>
      </c>
      <c r="E168" s="37">
        <v>0</v>
      </c>
      <c r="F168" s="37">
        <v>0</v>
      </c>
      <c r="G168" s="37">
        <v>0</v>
      </c>
      <c r="H168" s="34">
        <v>1</v>
      </c>
      <c r="I168" s="34" cm="1">
        <f t="array" ref="I168">IF(ISBLANK(H168),"",IF(H168,2,IF(G168,1,3)))</f>
        <v>2</v>
      </c>
      <c r="J168" t="str" s="7" cm="1">
        <f t="array" ref="J168">IF(ISBLANK(H168),"",IF(H168,"HER2pos",IF(G168,"HRposHER2neg","TripleNeg")))</f>
        <v>HER2pos</v>
      </c>
      <c r="K168" s="37">
        <v>0</v>
      </c>
      <c r="L168" s="37">
        <v>2</v>
      </c>
      <c r="M168" s="34">
        <v>48</v>
      </c>
      <c r="N168" s="34">
        <v>37</v>
      </c>
      <c r="O168" s="34">
        <v>4</v>
      </c>
      <c r="P168" s="34">
        <v>21</v>
      </c>
    </row>
    <row r="169" ht="13.65" customHeight="1">
      <c r="A169" s="34">
        <v>1183</v>
      </c>
      <c r="B169" s="35">
        <v>40059</v>
      </c>
      <c r="C169" s="36">
        <v>53.78</v>
      </c>
      <c r="D169" s="37">
        <v>1</v>
      </c>
      <c r="E169" s="37">
        <v>1</v>
      </c>
      <c r="F169" s="37">
        <v>1</v>
      </c>
      <c r="G169" s="37">
        <v>1</v>
      </c>
      <c r="H169" s="34">
        <v>0</v>
      </c>
      <c r="I169" s="34" cm="1">
        <f t="array" ref="I169">IF(ISBLANK(H169),"",IF(H169,2,IF(G169,1,3)))</f>
        <v>1</v>
      </c>
      <c r="J169" t="str" s="7" cm="1">
        <f t="array" ref="J169">IF(ISBLANK(H169),"",IF(H169,"HER2pos",IF(G169,"HRposHER2neg","TripleNeg")))</f>
        <v>HRposHER2neg</v>
      </c>
      <c r="K169" s="37">
        <v>0</v>
      </c>
      <c r="L169" s="37">
        <v>2</v>
      </c>
      <c r="M169" s="34">
        <v>96</v>
      </c>
      <c r="N169" s="34">
        <v>96</v>
      </c>
      <c r="O169" s="34">
        <v>60</v>
      </c>
      <c r="P169" s="34">
        <v>56</v>
      </c>
    </row>
    <row r="170" ht="13.65" customHeight="1">
      <c r="A170" s="34">
        <v>1184</v>
      </c>
      <c r="B170" s="35">
        <v>40059</v>
      </c>
      <c r="C170" s="36">
        <v>49.1</v>
      </c>
      <c r="D170" s="37">
        <v>1</v>
      </c>
      <c r="E170" s="37">
        <v>0</v>
      </c>
      <c r="F170" s="37">
        <v>0</v>
      </c>
      <c r="G170" s="37">
        <v>0</v>
      </c>
      <c r="H170" s="34">
        <v>0</v>
      </c>
      <c r="I170" s="34" cm="1">
        <f t="array" ref="I170">IF(ISBLANK(H170),"",IF(H170,2,IF(G170,1,3)))</f>
        <v>3</v>
      </c>
      <c r="J170" t="str" s="7" cm="1">
        <f t="array" ref="J170">IF(ISBLANK(H170),"",IF(H170,"HER2pos",IF(G170,"HRposHER2neg","TripleNeg")))</f>
        <v>TripleNeg</v>
      </c>
      <c r="K170" s="37">
        <v>0</v>
      </c>
      <c r="L170" s="37">
        <v>1</v>
      </c>
      <c r="M170" s="34">
        <v>40</v>
      </c>
      <c r="N170" s="34">
        <v>28</v>
      </c>
      <c r="O170" s="34">
        <v>13</v>
      </c>
      <c r="P170" s="34">
        <v>5</v>
      </c>
    </row>
    <row r="171" ht="13.65" customHeight="1">
      <c r="A171" s="34">
        <v>1185</v>
      </c>
      <c r="B171" s="35">
        <v>40059</v>
      </c>
      <c r="C171" s="36">
        <v>49.79</v>
      </c>
      <c r="D171" s="37">
        <v>1</v>
      </c>
      <c r="E171" s="37">
        <v>1</v>
      </c>
      <c r="F171" s="37">
        <v>1</v>
      </c>
      <c r="G171" s="37">
        <v>1</v>
      </c>
      <c r="H171" s="34">
        <v>0</v>
      </c>
      <c r="I171" s="34" cm="1">
        <f t="array" ref="I171">IF(ISBLANK(H171),"",IF(H171,2,IF(G171,1,3)))</f>
        <v>1</v>
      </c>
      <c r="J171" t="str" s="7" cm="1">
        <f t="array" ref="J171">IF(ISBLANK(H171),"",IF(H171,"HER2pos",IF(G171,"HRposHER2neg","TripleNeg")))</f>
        <v>HRposHER2neg</v>
      </c>
      <c r="K171" s="37">
        <v>0</v>
      </c>
      <c r="L171" s="37">
        <v>2</v>
      </c>
      <c r="M171" s="34">
        <v>71</v>
      </c>
      <c r="N171" s="34">
        <v>51</v>
      </c>
      <c r="O171" s="34">
        <v>19</v>
      </c>
      <c r="P171" s="34">
        <v>0</v>
      </c>
    </row>
    <row r="172" ht="13.65" customHeight="1">
      <c r="A172" s="34">
        <v>1187</v>
      </c>
      <c r="B172" s="35">
        <v>40059</v>
      </c>
      <c r="C172" s="36">
        <v>47.06</v>
      </c>
      <c r="D172" s="37">
        <v>3</v>
      </c>
      <c r="E172" s="37">
        <v>0</v>
      </c>
      <c r="F172" s="37">
        <v>0</v>
      </c>
      <c r="G172" s="37">
        <v>0</v>
      </c>
      <c r="H172" s="34">
        <v>0</v>
      </c>
      <c r="I172" s="34" cm="1">
        <f t="array" ref="I172">IF(ISBLANK(H172),"",IF(H172,2,IF(G172,1,3)))</f>
        <v>3</v>
      </c>
      <c r="J172" t="str" s="7" cm="1">
        <f t="array" ref="J172">IF(ISBLANK(H172),"",IF(H172,"HER2pos",IF(G172,"HRposHER2neg","TripleNeg")))</f>
        <v>TripleNeg</v>
      </c>
      <c r="K172" s="37">
        <v>0</v>
      </c>
      <c r="L172" s="37">
        <v>1</v>
      </c>
      <c r="M172" s="34">
        <v>70</v>
      </c>
      <c r="N172" s="34">
        <v>59</v>
      </c>
      <c r="O172" s="34">
        <v>68</v>
      </c>
      <c r="P172" s="34">
        <v>40</v>
      </c>
    </row>
    <row r="173" ht="13.65" customHeight="1">
      <c r="A173" s="34">
        <v>1188</v>
      </c>
      <c r="B173" s="35">
        <v>40059</v>
      </c>
      <c r="C173" s="36">
        <v>38.26</v>
      </c>
      <c r="D173" s="37">
        <v>3</v>
      </c>
      <c r="E173" s="37">
        <v>0</v>
      </c>
      <c r="F173" s="37">
        <v>0</v>
      </c>
      <c r="G173" s="37">
        <v>0</v>
      </c>
      <c r="H173" s="34">
        <v>0</v>
      </c>
      <c r="I173" s="34" cm="1">
        <f t="array" ref="I173">IF(ISBLANK(H173),"",IF(H173,2,IF(G173,1,3)))</f>
        <v>3</v>
      </c>
      <c r="J173" t="str" s="7" cm="1">
        <f t="array" ref="J173">IF(ISBLANK(H173),"",IF(H173,"HER2pos",IF(G173,"HRposHER2neg","TripleNeg")))</f>
        <v>TripleNeg</v>
      </c>
      <c r="K173" s="37">
        <v>0</v>
      </c>
      <c r="L173" s="37">
        <v>1</v>
      </c>
      <c r="M173" s="34">
        <v>20</v>
      </c>
      <c r="N173" s="34">
        <v>18</v>
      </c>
      <c r="O173" s="34">
        <v>12</v>
      </c>
      <c r="P173" s="34">
        <v>10</v>
      </c>
    </row>
    <row r="174" ht="13.65" customHeight="1">
      <c r="A174" s="34">
        <v>1189</v>
      </c>
      <c r="B174" s="35">
        <v>40059</v>
      </c>
      <c r="C174" s="36">
        <v>68.81999999999999</v>
      </c>
      <c r="D174" s="37">
        <v>4</v>
      </c>
      <c r="E174" s="37">
        <v>0</v>
      </c>
      <c r="F174" s="37">
        <v>0</v>
      </c>
      <c r="G174" s="37">
        <v>0</v>
      </c>
      <c r="H174" s="34">
        <v>1</v>
      </c>
      <c r="I174" s="34" cm="1">
        <f t="array" ref="I174">IF(ISBLANK(H174),"",IF(H174,2,IF(G174,1,3)))</f>
        <v>2</v>
      </c>
      <c r="J174" t="str" s="7" cm="1">
        <f t="array" ref="J174">IF(ISBLANK(H174),"",IF(H174,"HER2pos",IF(G174,"HRposHER2neg","TripleNeg")))</f>
        <v>HER2pos</v>
      </c>
      <c r="K174" s="37">
        <v>0</v>
      </c>
      <c r="L174" s="37">
        <v>2</v>
      </c>
      <c r="M174" s="34">
        <v>33</v>
      </c>
      <c r="N174" s="34">
        <v>26</v>
      </c>
      <c r="O174" s="34">
        <v>0</v>
      </c>
      <c r="P174" s="34">
        <v>0</v>
      </c>
    </row>
    <row r="175" ht="13.65" customHeight="1">
      <c r="A175" s="34">
        <v>1191</v>
      </c>
      <c r="B175" s="35">
        <v>40059</v>
      </c>
      <c r="C175" s="36">
        <v>45.88</v>
      </c>
      <c r="D175" s="37">
        <v>1</v>
      </c>
      <c r="E175" s="37">
        <v>1</v>
      </c>
      <c r="F175" s="37">
        <v>1</v>
      </c>
      <c r="G175" s="37">
        <v>1</v>
      </c>
      <c r="H175" s="34">
        <v>0</v>
      </c>
      <c r="I175" s="34" cm="1">
        <f t="array" ref="I175">IF(ISBLANK(H175),"",IF(H175,2,IF(G175,1,3)))</f>
        <v>1</v>
      </c>
      <c r="J175" t="str" s="7" cm="1">
        <f t="array" ref="J175">IF(ISBLANK(H175),"",IF(H175,"HER2pos",IF(G175,"HRposHER2neg","TripleNeg")))</f>
        <v>HRposHER2neg</v>
      </c>
      <c r="K175" s="37">
        <v>0</v>
      </c>
      <c r="L175" s="37">
        <v>2</v>
      </c>
      <c r="M175" s="34">
        <v>37</v>
      </c>
      <c r="N175" s="34">
        <v>36</v>
      </c>
      <c r="O175" s="34">
        <v>26</v>
      </c>
      <c r="P175" s="34">
        <v>9</v>
      </c>
    </row>
    <row r="176" ht="13.65" customHeight="1">
      <c r="A176" s="34">
        <v>1192</v>
      </c>
      <c r="B176" s="35">
        <v>40059</v>
      </c>
      <c r="C176" s="36">
        <v>31.26</v>
      </c>
      <c r="D176" s="37">
        <v>3</v>
      </c>
      <c r="E176" s="37">
        <v>0</v>
      </c>
      <c r="F176" s="37">
        <v>0</v>
      </c>
      <c r="G176" s="37">
        <v>0</v>
      </c>
      <c r="H176" s="7"/>
      <c r="I176" t="str" s="7" cm="1">
        <f t="array" ref="I176">IF(ISBLANK(H176),"",IF(H176,2,IF(G176,1,3)))</f>
      </c>
      <c r="J176" t="str" s="7" cm="1">
        <f t="array" ref="J176">IF(ISBLANK(H176),"",IF(H176,"HER2pos",IF(G176,"HRposHER2neg","TripleNeg")))</f>
      </c>
      <c r="K176" s="37">
        <v>0</v>
      </c>
      <c r="L176" s="37">
        <v>1</v>
      </c>
      <c r="M176" s="34">
        <v>25</v>
      </c>
      <c r="N176" s="7"/>
      <c r="O176" s="34">
        <v>0</v>
      </c>
      <c r="P176" s="34">
        <v>0</v>
      </c>
    </row>
    <row r="177" ht="13.65" customHeight="1">
      <c r="A177" s="34">
        <v>1193</v>
      </c>
      <c r="B177" s="35">
        <v>40059</v>
      </c>
      <c r="C177" s="36">
        <v>59.6</v>
      </c>
      <c r="D177" s="37">
        <v>1</v>
      </c>
      <c r="E177" s="37">
        <v>1</v>
      </c>
      <c r="F177" s="37">
        <v>1</v>
      </c>
      <c r="G177" s="37">
        <v>1</v>
      </c>
      <c r="H177" s="34">
        <v>0</v>
      </c>
      <c r="I177" s="34" cm="1">
        <f t="array" ref="I177">IF(ISBLANK(H177),"",IF(H177,2,IF(G177,1,3)))</f>
        <v>1</v>
      </c>
      <c r="J177" t="str" s="7" cm="1">
        <f t="array" ref="J177">IF(ISBLANK(H177),"",IF(H177,"HER2pos",IF(G177,"HRposHER2neg","TripleNeg")))</f>
        <v>HRposHER2neg</v>
      </c>
      <c r="K177" s="37">
        <v>0</v>
      </c>
      <c r="L177" s="37">
        <v>1</v>
      </c>
      <c r="M177" s="34">
        <v>37</v>
      </c>
      <c r="N177" s="34">
        <v>38</v>
      </c>
      <c r="O177" s="34">
        <v>28</v>
      </c>
      <c r="P177" s="34">
        <v>29</v>
      </c>
    </row>
    <row r="178" ht="13.65" customHeight="1">
      <c r="A178" s="34">
        <v>1194</v>
      </c>
      <c r="B178" s="35">
        <v>40059</v>
      </c>
      <c r="C178" s="36">
        <v>33.83</v>
      </c>
      <c r="D178" s="37">
        <v>1</v>
      </c>
      <c r="E178" s="37">
        <v>1</v>
      </c>
      <c r="F178" s="37">
        <v>1</v>
      </c>
      <c r="G178" s="37">
        <v>1</v>
      </c>
      <c r="H178" s="34">
        <v>0</v>
      </c>
      <c r="I178" s="34" cm="1">
        <f t="array" ref="I178">IF(ISBLANK(H178),"",IF(H178,2,IF(G178,1,3)))</f>
        <v>1</v>
      </c>
      <c r="J178" t="str" s="7" cm="1">
        <f t="array" ref="J178">IF(ISBLANK(H178),"",IF(H178,"HER2pos",IF(G178,"HRposHER2neg","TripleNeg")))</f>
        <v>HRposHER2neg</v>
      </c>
      <c r="K178" s="37">
        <v>0</v>
      </c>
      <c r="L178" s="37">
        <v>1</v>
      </c>
      <c r="M178" s="34">
        <v>59</v>
      </c>
      <c r="N178" s="34">
        <v>59</v>
      </c>
      <c r="O178" s="34">
        <v>55</v>
      </c>
      <c r="P178" s="34">
        <v>28</v>
      </c>
    </row>
    <row r="179" ht="13.65" customHeight="1">
      <c r="A179" s="34">
        <v>1196</v>
      </c>
      <c r="B179" s="35">
        <v>40059</v>
      </c>
      <c r="C179" s="36">
        <v>35.44</v>
      </c>
      <c r="D179" s="37">
        <v>1</v>
      </c>
      <c r="E179" s="37">
        <v>1</v>
      </c>
      <c r="F179" s="37">
        <v>1</v>
      </c>
      <c r="G179" s="37">
        <v>1</v>
      </c>
      <c r="H179" s="34">
        <v>1</v>
      </c>
      <c r="I179" s="34" cm="1">
        <f t="array" ref="I179">IF(ISBLANK(H179),"",IF(H179,2,IF(G179,1,3)))</f>
        <v>2</v>
      </c>
      <c r="J179" t="str" s="7" cm="1">
        <f t="array" ref="J179">IF(ISBLANK(H179),"",IF(H179,"HER2pos",IF(G179,"HRposHER2neg","TripleNeg")))</f>
        <v>HER2pos</v>
      </c>
      <c r="K179" s="37">
        <v>0</v>
      </c>
      <c r="L179" s="37">
        <v>2</v>
      </c>
      <c r="M179" s="34">
        <v>64</v>
      </c>
      <c r="N179" s="34">
        <v>47</v>
      </c>
      <c r="O179" s="34">
        <v>37</v>
      </c>
      <c r="P179" s="34">
        <v>31</v>
      </c>
    </row>
    <row r="180" ht="13.65" customHeight="1">
      <c r="A180" s="34">
        <v>1197</v>
      </c>
      <c r="B180" s="35">
        <v>40059</v>
      </c>
      <c r="C180" s="36">
        <v>44.73</v>
      </c>
      <c r="D180" s="37">
        <v>1</v>
      </c>
      <c r="E180" s="37">
        <v>0</v>
      </c>
      <c r="F180" s="37">
        <v>1</v>
      </c>
      <c r="G180" s="37">
        <v>1</v>
      </c>
      <c r="H180" s="34">
        <v>0</v>
      </c>
      <c r="I180" s="34" cm="1">
        <f t="array" ref="I180">IF(ISBLANK(H180),"",IF(H180,2,IF(G180,1,3)))</f>
        <v>1</v>
      </c>
      <c r="J180" t="str" s="7" cm="1">
        <f t="array" ref="J180">IF(ISBLANK(H180),"",IF(H180,"HER2pos",IF(G180,"HRposHER2neg","TripleNeg")))</f>
        <v>HRposHER2neg</v>
      </c>
      <c r="K180" s="37">
        <v>0</v>
      </c>
      <c r="L180" s="37">
        <v>1</v>
      </c>
      <c r="M180" s="34">
        <v>158</v>
      </c>
      <c r="N180" s="34">
        <v>145</v>
      </c>
      <c r="O180" s="34">
        <v>123</v>
      </c>
      <c r="P180" s="34">
        <v>126</v>
      </c>
    </row>
    <row r="181" ht="13.65" customHeight="1">
      <c r="A181" s="34">
        <v>1198</v>
      </c>
      <c r="B181" s="35">
        <v>40059</v>
      </c>
      <c r="C181" s="36">
        <v>59.54</v>
      </c>
      <c r="D181" s="37">
        <v>3</v>
      </c>
      <c r="E181" s="37">
        <v>1</v>
      </c>
      <c r="F181" s="37">
        <v>0</v>
      </c>
      <c r="G181" s="37">
        <v>1</v>
      </c>
      <c r="H181" s="34">
        <v>0</v>
      </c>
      <c r="I181" s="34" cm="1">
        <f t="array" ref="I181">IF(ISBLANK(H181),"",IF(H181,2,IF(G181,1,3)))</f>
        <v>1</v>
      </c>
      <c r="J181" t="str" s="7" cm="1">
        <f t="array" ref="J181">IF(ISBLANK(H181),"",IF(H181,"HER2pos",IF(G181,"HRposHER2neg","TripleNeg")))</f>
        <v>HRposHER2neg</v>
      </c>
      <c r="K181" s="37">
        <v>0</v>
      </c>
      <c r="L181" s="37">
        <v>1</v>
      </c>
      <c r="M181" s="34">
        <v>44</v>
      </c>
      <c r="N181" s="34">
        <v>45</v>
      </c>
      <c r="O181" s="34">
        <v>45</v>
      </c>
      <c r="P181" s="34">
        <v>37</v>
      </c>
    </row>
    <row r="182" ht="13.65" customHeight="1">
      <c r="A182" s="34">
        <v>1199</v>
      </c>
      <c r="B182" s="35">
        <v>40059</v>
      </c>
      <c r="C182" s="36">
        <v>37.68</v>
      </c>
      <c r="D182" s="37">
        <v>1</v>
      </c>
      <c r="E182" s="37">
        <v>0</v>
      </c>
      <c r="F182" s="37">
        <v>0</v>
      </c>
      <c r="G182" s="37">
        <v>0</v>
      </c>
      <c r="H182" s="34">
        <v>0</v>
      </c>
      <c r="I182" s="34" cm="1">
        <f t="array" ref="I182">IF(ISBLANK(H182),"",IF(H182,2,IF(G182,1,3)))</f>
        <v>3</v>
      </c>
      <c r="J182" t="str" s="7" cm="1">
        <f t="array" ref="J182">IF(ISBLANK(H182),"",IF(H182,"HER2pos",IF(G182,"HRposHER2neg","TripleNeg")))</f>
        <v>TripleNeg</v>
      </c>
      <c r="K182" s="37">
        <v>0</v>
      </c>
      <c r="L182" s="37">
        <v>2</v>
      </c>
      <c r="M182" s="34">
        <v>78</v>
      </c>
      <c r="N182" s="34">
        <v>70</v>
      </c>
      <c r="O182" s="34">
        <v>65</v>
      </c>
      <c r="P182" s="34">
        <v>65</v>
      </c>
    </row>
    <row r="183" ht="13.65" customHeight="1">
      <c r="A183" s="34">
        <v>1200</v>
      </c>
      <c r="B183" s="35">
        <v>40059</v>
      </c>
      <c r="C183" s="36">
        <v>43.79</v>
      </c>
      <c r="D183" s="37">
        <v>1</v>
      </c>
      <c r="E183" s="37">
        <v>1</v>
      </c>
      <c r="F183" s="37">
        <v>1</v>
      </c>
      <c r="G183" s="37">
        <v>1</v>
      </c>
      <c r="H183" s="34">
        <v>0</v>
      </c>
      <c r="I183" s="34" cm="1">
        <f t="array" ref="I183">IF(ISBLANK(H183),"",IF(H183,2,IF(G183,1,3)))</f>
        <v>1</v>
      </c>
      <c r="J183" t="str" s="7" cm="1">
        <f t="array" ref="J183">IF(ISBLANK(H183),"",IF(H183,"HER2pos",IF(G183,"HRposHER2neg","TripleNeg")))</f>
        <v>HRposHER2neg</v>
      </c>
      <c r="K183" s="37">
        <v>0</v>
      </c>
      <c r="L183" s="37">
        <v>2</v>
      </c>
      <c r="M183" s="34">
        <v>53</v>
      </c>
      <c r="N183" s="34">
        <v>60</v>
      </c>
      <c r="O183" s="34">
        <v>62</v>
      </c>
      <c r="P183" s="34">
        <v>17</v>
      </c>
    </row>
    <row r="184" ht="13.65" customHeight="1">
      <c r="A184" s="34">
        <v>1201</v>
      </c>
      <c r="B184" s="35">
        <v>40059</v>
      </c>
      <c r="C184" s="36">
        <v>50.12</v>
      </c>
      <c r="D184" s="37">
        <v>1</v>
      </c>
      <c r="E184" s="37">
        <v>1</v>
      </c>
      <c r="F184" s="37">
        <v>1</v>
      </c>
      <c r="G184" s="37">
        <v>1</v>
      </c>
      <c r="H184" s="34">
        <v>0</v>
      </c>
      <c r="I184" s="34" cm="1">
        <f t="array" ref="I184">IF(ISBLANK(H184),"",IF(H184,2,IF(G184,1,3)))</f>
        <v>1</v>
      </c>
      <c r="J184" t="str" s="7" cm="1">
        <f t="array" ref="J184">IF(ISBLANK(H184),"",IF(H184,"HER2pos",IF(G184,"HRposHER2neg","TripleNeg")))</f>
        <v>HRposHER2neg</v>
      </c>
      <c r="K184" s="37">
        <v>0</v>
      </c>
      <c r="L184" s="37">
        <v>1</v>
      </c>
      <c r="M184" s="34">
        <v>78</v>
      </c>
      <c r="N184" s="34">
        <v>73</v>
      </c>
      <c r="O184" s="34">
        <v>53</v>
      </c>
      <c r="P184" s="34">
        <v>60</v>
      </c>
    </row>
    <row r="185" ht="13.65" customHeight="1">
      <c r="A185" s="34">
        <v>1202</v>
      </c>
      <c r="B185" s="35">
        <v>40059</v>
      </c>
      <c r="C185" s="36">
        <v>53.45</v>
      </c>
      <c r="D185" s="37">
        <v>1</v>
      </c>
      <c r="E185" s="37">
        <v>1</v>
      </c>
      <c r="F185" s="37">
        <v>0</v>
      </c>
      <c r="G185" s="37">
        <v>1</v>
      </c>
      <c r="H185" s="34">
        <v>0</v>
      </c>
      <c r="I185" s="34" cm="1">
        <f t="array" ref="I185">IF(ISBLANK(H185),"",IF(H185,2,IF(G185,1,3)))</f>
        <v>1</v>
      </c>
      <c r="J185" t="str" s="7" cm="1">
        <f t="array" ref="J185">IF(ISBLANK(H185),"",IF(H185,"HER2pos",IF(G185,"HRposHER2neg","TripleNeg")))</f>
        <v>HRposHER2neg</v>
      </c>
      <c r="K185" s="37">
        <v>0</v>
      </c>
      <c r="L185" s="37">
        <v>2</v>
      </c>
      <c r="M185" s="34">
        <v>80</v>
      </c>
      <c r="N185" s="34">
        <v>75</v>
      </c>
      <c r="O185" s="34">
        <v>35</v>
      </c>
      <c r="P185" s="34">
        <v>0</v>
      </c>
    </row>
    <row r="186" ht="13.65" customHeight="1">
      <c r="A186" s="34">
        <v>1203</v>
      </c>
      <c r="B186" s="35">
        <v>40059</v>
      </c>
      <c r="C186" s="36">
        <v>42.34</v>
      </c>
      <c r="D186" s="37">
        <v>1</v>
      </c>
      <c r="E186" s="37">
        <v>1</v>
      </c>
      <c r="F186" s="37">
        <v>1</v>
      </c>
      <c r="G186" s="37">
        <v>1</v>
      </c>
      <c r="H186" s="34">
        <v>0</v>
      </c>
      <c r="I186" s="34" cm="1">
        <f t="array" ref="I186">IF(ISBLANK(H186),"",IF(H186,2,IF(G186,1,3)))</f>
        <v>1</v>
      </c>
      <c r="J186" t="str" s="7" cm="1">
        <f t="array" ref="J186">IF(ISBLANK(H186),"",IF(H186,"HER2pos",IF(G186,"HRposHER2neg","TripleNeg")))</f>
        <v>HRposHER2neg</v>
      </c>
      <c r="K186" s="37">
        <v>0</v>
      </c>
      <c r="L186" s="37">
        <v>2</v>
      </c>
      <c r="M186" s="34">
        <v>105</v>
      </c>
      <c r="N186" s="34">
        <v>99</v>
      </c>
      <c r="O186" s="34">
        <v>82</v>
      </c>
      <c r="P186" s="34">
        <v>87</v>
      </c>
    </row>
    <row r="187" ht="13.65" customHeight="1">
      <c r="A187" s="34">
        <v>1204</v>
      </c>
      <c r="B187" s="35">
        <v>40059</v>
      </c>
      <c r="C187" s="36">
        <v>39.27</v>
      </c>
      <c r="D187" s="37">
        <v>1</v>
      </c>
      <c r="E187" s="37">
        <v>0</v>
      </c>
      <c r="F187" s="37">
        <v>0</v>
      </c>
      <c r="G187" s="37">
        <v>0</v>
      </c>
      <c r="H187" s="34">
        <v>0</v>
      </c>
      <c r="I187" s="34" cm="1">
        <f t="array" ref="I187">IF(ISBLANK(H187),"",IF(H187,2,IF(G187,1,3)))</f>
        <v>3</v>
      </c>
      <c r="J187" t="str" s="7" cm="1">
        <f t="array" ref="J187">IF(ISBLANK(H187),"",IF(H187,"HER2pos",IF(G187,"HRposHER2neg","TripleNeg")))</f>
        <v>TripleNeg</v>
      </c>
      <c r="K187" s="37">
        <v>0</v>
      </c>
      <c r="L187" s="37">
        <v>2</v>
      </c>
      <c r="M187" s="34">
        <v>45</v>
      </c>
      <c r="N187" s="34">
        <v>32</v>
      </c>
      <c r="O187" s="34">
        <v>24</v>
      </c>
      <c r="P187" s="34">
        <v>18</v>
      </c>
    </row>
    <row r="188" ht="13.65" customHeight="1">
      <c r="A188" s="34">
        <v>1205</v>
      </c>
      <c r="B188" s="35">
        <v>40059</v>
      </c>
      <c r="C188" s="36">
        <v>42.56</v>
      </c>
      <c r="D188" s="37">
        <v>3</v>
      </c>
      <c r="E188" s="37">
        <v>1</v>
      </c>
      <c r="F188" s="37">
        <v>1</v>
      </c>
      <c r="G188" s="37">
        <v>1</v>
      </c>
      <c r="H188" s="34">
        <v>0</v>
      </c>
      <c r="I188" s="34" cm="1">
        <f t="array" ref="I188">IF(ISBLANK(H188),"",IF(H188,2,IF(G188,1,3)))</f>
        <v>1</v>
      </c>
      <c r="J188" t="str" s="7" cm="1">
        <f t="array" ref="J188">IF(ISBLANK(H188),"",IF(H188,"HER2pos",IF(G188,"HRposHER2neg","TripleNeg")))</f>
        <v>HRposHER2neg</v>
      </c>
      <c r="K188" s="37">
        <v>0</v>
      </c>
      <c r="L188" s="37">
        <v>1</v>
      </c>
      <c r="M188" s="34">
        <v>75</v>
      </c>
      <c r="N188" s="34">
        <v>70</v>
      </c>
      <c r="O188" s="34">
        <v>47</v>
      </c>
      <c r="P188" s="34">
        <v>35</v>
      </c>
    </row>
    <row r="189" ht="13.65" customHeight="1">
      <c r="A189" s="34">
        <v>1206</v>
      </c>
      <c r="B189" s="35">
        <v>40059</v>
      </c>
      <c r="C189" s="36">
        <v>43.03</v>
      </c>
      <c r="D189" s="37">
        <v>1</v>
      </c>
      <c r="E189" s="37">
        <v>1</v>
      </c>
      <c r="F189" s="37">
        <v>1</v>
      </c>
      <c r="G189" s="37">
        <v>1</v>
      </c>
      <c r="H189" s="34">
        <v>0</v>
      </c>
      <c r="I189" s="34" cm="1">
        <f t="array" ref="I189">IF(ISBLANK(H189),"",IF(H189,2,IF(G189,1,3)))</f>
        <v>1</v>
      </c>
      <c r="J189" t="str" s="7" cm="1">
        <f t="array" ref="J189">IF(ISBLANK(H189),"",IF(H189,"HER2pos",IF(G189,"HRposHER2neg","TripleNeg")))</f>
        <v>HRposHER2neg</v>
      </c>
      <c r="K189" s="37">
        <v>0</v>
      </c>
      <c r="L189" s="37">
        <v>2</v>
      </c>
      <c r="M189" s="34">
        <v>78</v>
      </c>
      <c r="N189" s="34">
        <v>78</v>
      </c>
      <c r="O189" s="34">
        <v>35</v>
      </c>
      <c r="P189" s="34">
        <v>26</v>
      </c>
    </row>
    <row r="190" ht="13.65" customHeight="1">
      <c r="A190" s="34">
        <v>1207</v>
      </c>
      <c r="B190" s="35">
        <v>40059</v>
      </c>
      <c r="C190" s="36">
        <v>36.27</v>
      </c>
      <c r="D190" s="37">
        <v>1</v>
      </c>
      <c r="E190" s="37">
        <v>0</v>
      </c>
      <c r="F190" s="37">
        <v>0</v>
      </c>
      <c r="G190" s="37">
        <v>0</v>
      </c>
      <c r="H190" s="34">
        <v>0</v>
      </c>
      <c r="I190" s="34" cm="1">
        <f t="array" ref="I190">IF(ISBLANK(H190),"",IF(H190,2,IF(G190,1,3)))</f>
        <v>3</v>
      </c>
      <c r="J190" t="str" s="7" cm="1">
        <f t="array" ref="J190">IF(ISBLANK(H190),"",IF(H190,"HER2pos",IF(G190,"HRposHER2neg","TripleNeg")))</f>
        <v>TripleNeg</v>
      </c>
      <c r="K190" s="37">
        <v>0</v>
      </c>
      <c r="L190" s="37">
        <v>2</v>
      </c>
      <c r="M190" s="34">
        <v>32</v>
      </c>
      <c r="N190" s="34">
        <v>22</v>
      </c>
      <c r="O190" s="34">
        <v>26</v>
      </c>
      <c r="P190" s="34">
        <v>0</v>
      </c>
    </row>
    <row r="191" ht="13.65" customHeight="1">
      <c r="A191" s="34">
        <v>1208</v>
      </c>
      <c r="B191" s="35">
        <v>40059</v>
      </c>
      <c r="C191" s="36">
        <v>42.07</v>
      </c>
      <c r="D191" s="37">
        <v>1</v>
      </c>
      <c r="E191" s="37">
        <v>0</v>
      </c>
      <c r="F191" s="37">
        <v>0</v>
      </c>
      <c r="G191" s="37">
        <v>0</v>
      </c>
      <c r="H191" s="34">
        <v>0</v>
      </c>
      <c r="I191" s="34" cm="1">
        <f t="array" ref="I191">IF(ISBLANK(H191),"",IF(H191,2,IF(G191,1,3)))</f>
        <v>3</v>
      </c>
      <c r="J191" t="str" s="7" cm="1">
        <f t="array" ref="J191">IF(ISBLANK(H191),"",IF(H191,"HER2pos",IF(G191,"HRposHER2neg","TripleNeg")))</f>
        <v>TripleNeg</v>
      </c>
      <c r="K191" s="37">
        <v>0</v>
      </c>
      <c r="L191" s="37">
        <v>2</v>
      </c>
      <c r="M191" s="34">
        <v>166</v>
      </c>
      <c r="N191" s="34">
        <v>119</v>
      </c>
      <c r="O191" s="7"/>
      <c r="P191" s="34">
        <v>0</v>
      </c>
    </row>
    <row r="192" ht="13.65" customHeight="1">
      <c r="A192" s="34">
        <v>1209</v>
      </c>
      <c r="B192" s="35">
        <v>40059</v>
      </c>
      <c r="C192" s="36">
        <v>43.44</v>
      </c>
      <c r="D192" s="37">
        <v>1</v>
      </c>
      <c r="E192" s="37">
        <v>1</v>
      </c>
      <c r="F192" s="37">
        <v>0</v>
      </c>
      <c r="G192" s="37">
        <v>1</v>
      </c>
      <c r="H192" s="34">
        <v>0</v>
      </c>
      <c r="I192" s="34" cm="1">
        <f t="array" ref="I192">IF(ISBLANK(H192),"",IF(H192,2,IF(G192,1,3)))</f>
        <v>1</v>
      </c>
      <c r="J192" t="str" s="7" cm="1">
        <f t="array" ref="J192">IF(ISBLANK(H192),"",IF(H192,"HER2pos",IF(G192,"HRposHER2neg","TripleNeg")))</f>
        <v>HRposHER2neg</v>
      </c>
      <c r="K192" s="37">
        <v>0</v>
      </c>
      <c r="L192" s="37">
        <v>2</v>
      </c>
      <c r="M192" s="34">
        <v>28</v>
      </c>
      <c r="N192" s="34">
        <v>24</v>
      </c>
      <c r="O192" s="34">
        <v>24</v>
      </c>
      <c r="P192" s="34">
        <v>11</v>
      </c>
    </row>
    <row r="193" ht="13.65" customHeight="1">
      <c r="A193" s="34">
        <v>1210</v>
      </c>
      <c r="B193" s="35">
        <v>40059</v>
      </c>
      <c r="C193" s="36">
        <v>40.58</v>
      </c>
      <c r="D193" s="37">
        <v>1</v>
      </c>
      <c r="E193" s="37">
        <v>1</v>
      </c>
      <c r="F193" s="37">
        <v>1</v>
      </c>
      <c r="G193" s="37">
        <v>1</v>
      </c>
      <c r="H193" s="34">
        <v>0</v>
      </c>
      <c r="I193" s="34" cm="1">
        <f t="array" ref="I193">IF(ISBLANK(H193),"",IF(H193,2,IF(G193,1,3)))</f>
        <v>1</v>
      </c>
      <c r="J193" t="str" s="7" cm="1">
        <f t="array" ref="J193">IF(ISBLANK(H193),"",IF(H193,"HER2pos",IF(G193,"HRposHER2neg","TripleNeg")))</f>
        <v>HRposHER2neg</v>
      </c>
      <c r="K193" s="37">
        <v>0</v>
      </c>
      <c r="L193" s="37">
        <v>2</v>
      </c>
      <c r="M193" s="34">
        <v>83</v>
      </c>
      <c r="N193" s="34">
        <v>66</v>
      </c>
      <c r="O193" s="34">
        <v>37</v>
      </c>
      <c r="P193" s="34">
        <v>10</v>
      </c>
    </row>
    <row r="194" ht="13.65" customHeight="1">
      <c r="A194" s="34">
        <v>1211</v>
      </c>
      <c r="B194" s="35">
        <v>40059</v>
      </c>
      <c r="C194" s="36">
        <v>48.11</v>
      </c>
      <c r="D194" s="37">
        <v>1</v>
      </c>
      <c r="E194" s="37">
        <v>1</v>
      </c>
      <c r="F194" s="37">
        <v>1</v>
      </c>
      <c r="G194" s="37">
        <v>1</v>
      </c>
      <c r="H194" s="34">
        <v>0</v>
      </c>
      <c r="I194" s="34" cm="1">
        <f t="array" ref="I194">IF(ISBLANK(H194),"",IF(H194,2,IF(G194,1,3)))</f>
        <v>1</v>
      </c>
      <c r="J194" t="str" s="7" cm="1">
        <f t="array" ref="J194">IF(ISBLANK(H194),"",IF(H194,"HER2pos",IF(G194,"HRposHER2neg","TripleNeg")))</f>
        <v>HRposHER2neg</v>
      </c>
      <c r="K194" s="37">
        <v>0</v>
      </c>
      <c r="L194" s="37">
        <v>2</v>
      </c>
      <c r="M194" s="34">
        <v>57</v>
      </c>
      <c r="N194" s="34">
        <v>54</v>
      </c>
      <c r="O194" s="34">
        <v>45</v>
      </c>
      <c r="P194" s="34">
        <v>0</v>
      </c>
    </row>
    <row r="195" ht="13.65" customHeight="1">
      <c r="A195" s="34">
        <v>1212</v>
      </c>
      <c r="B195" s="35">
        <v>40059</v>
      </c>
      <c r="C195" s="36">
        <v>52.13</v>
      </c>
      <c r="D195" s="37">
        <v>3</v>
      </c>
      <c r="E195" s="37">
        <v>0</v>
      </c>
      <c r="F195" s="37">
        <v>0</v>
      </c>
      <c r="G195" s="37">
        <v>0</v>
      </c>
      <c r="H195" s="34">
        <v>1</v>
      </c>
      <c r="I195" s="34" cm="1">
        <f t="array" ref="I195">IF(ISBLANK(H195),"",IF(H195,2,IF(G195,1,3)))</f>
        <v>2</v>
      </c>
      <c r="J195" t="str" s="7" cm="1">
        <f t="array" ref="J195">IF(ISBLANK(H195),"",IF(H195,"HER2pos",IF(G195,"HRposHER2neg","TripleNeg")))</f>
        <v>HER2pos</v>
      </c>
      <c r="K195" s="37">
        <v>0</v>
      </c>
      <c r="L195" s="37">
        <v>2</v>
      </c>
      <c r="M195" s="34">
        <v>87</v>
      </c>
      <c r="N195" s="34">
        <v>85</v>
      </c>
      <c r="O195" s="34">
        <v>60</v>
      </c>
      <c r="P195" s="7"/>
    </row>
    <row r="196" ht="13.65" customHeight="1">
      <c r="A196" s="34">
        <v>1213</v>
      </c>
      <c r="B196" s="35">
        <v>40059</v>
      </c>
      <c r="C196" s="36">
        <v>38.05</v>
      </c>
      <c r="D196" s="37">
        <v>4</v>
      </c>
      <c r="E196" s="37">
        <v>1</v>
      </c>
      <c r="F196" s="37">
        <v>1</v>
      </c>
      <c r="G196" s="37">
        <v>1</v>
      </c>
      <c r="H196" s="34">
        <v>1</v>
      </c>
      <c r="I196" s="34" cm="1">
        <f t="array" ref="I196">IF(ISBLANK(H196),"",IF(H196,2,IF(G196,1,3)))</f>
        <v>2</v>
      </c>
      <c r="J196" t="str" s="7" cm="1">
        <f t="array" ref="J196">IF(ISBLANK(H196),"",IF(H196,"HER2pos",IF(G196,"HRposHER2neg","TripleNeg")))</f>
        <v>HER2pos</v>
      </c>
      <c r="K196" s="37">
        <v>0</v>
      </c>
      <c r="L196" s="37">
        <v>1</v>
      </c>
      <c r="M196" s="34">
        <v>37</v>
      </c>
      <c r="N196" s="34">
        <v>34</v>
      </c>
      <c r="O196" s="34">
        <v>31</v>
      </c>
      <c r="P196" s="34">
        <v>0</v>
      </c>
    </row>
    <row r="197" ht="13.65" customHeight="1">
      <c r="A197" s="34">
        <v>1214</v>
      </c>
      <c r="B197" s="35">
        <v>40059</v>
      </c>
      <c r="C197" s="36">
        <v>47.02</v>
      </c>
      <c r="D197" s="37">
        <v>3</v>
      </c>
      <c r="E197" s="37">
        <v>1</v>
      </c>
      <c r="F197" s="37">
        <v>1</v>
      </c>
      <c r="G197" s="37">
        <v>1</v>
      </c>
      <c r="H197" s="34">
        <v>1</v>
      </c>
      <c r="I197" s="34" cm="1">
        <f t="array" ref="I197">IF(ISBLANK(H197),"",IF(H197,2,IF(G197,1,3)))</f>
        <v>2</v>
      </c>
      <c r="J197" t="str" s="7" cm="1">
        <f t="array" ref="J197">IF(ISBLANK(H197),"",IF(H197,"HER2pos",IF(G197,"HRposHER2neg","TripleNeg")))</f>
        <v>HER2pos</v>
      </c>
      <c r="K197" s="37">
        <v>0</v>
      </c>
      <c r="L197" s="37">
        <v>2</v>
      </c>
      <c r="M197" s="34">
        <v>84</v>
      </c>
      <c r="N197" s="34">
        <v>47</v>
      </c>
      <c r="O197" s="34">
        <v>42</v>
      </c>
      <c r="P197" s="34">
        <v>38</v>
      </c>
    </row>
    <row r="198" ht="13.65" customHeight="1">
      <c r="A198" s="34">
        <v>1215</v>
      </c>
      <c r="B198" s="35">
        <v>40059</v>
      </c>
      <c r="C198" s="36">
        <v>49.2</v>
      </c>
      <c r="D198" s="37">
        <v>1</v>
      </c>
      <c r="E198" s="37">
        <v>1</v>
      </c>
      <c r="F198" s="37">
        <v>1</v>
      </c>
      <c r="G198" s="37">
        <v>1</v>
      </c>
      <c r="H198" s="34">
        <v>1</v>
      </c>
      <c r="I198" s="34" cm="1">
        <f t="array" ref="I198">IF(ISBLANK(H198),"",IF(H198,2,IF(G198,1,3)))</f>
        <v>2</v>
      </c>
      <c r="J198" t="str" s="7" cm="1">
        <f t="array" ref="J198">IF(ISBLANK(H198),"",IF(H198,"HER2pos",IF(G198,"HRposHER2neg","TripleNeg")))</f>
        <v>HER2pos</v>
      </c>
      <c r="K198" s="37">
        <v>1</v>
      </c>
      <c r="L198" s="37">
        <v>1</v>
      </c>
      <c r="M198" s="7"/>
      <c r="N198" s="7"/>
      <c r="O198" s="7"/>
      <c r="P198" s="7"/>
    </row>
    <row r="199" ht="13.65" customHeight="1">
      <c r="A199" s="34">
        <v>1216</v>
      </c>
      <c r="B199" s="35">
        <v>40059</v>
      </c>
      <c r="C199" s="36">
        <v>34.43</v>
      </c>
      <c r="D199" s="37">
        <v>1</v>
      </c>
      <c r="E199" s="37">
        <v>0</v>
      </c>
      <c r="F199" s="37">
        <v>0</v>
      </c>
      <c r="G199" s="37">
        <v>0</v>
      </c>
      <c r="H199" s="34">
        <v>0</v>
      </c>
      <c r="I199" s="34" cm="1">
        <f t="array" ref="I199">IF(ISBLANK(H199),"",IF(H199,2,IF(G199,1,3)))</f>
        <v>3</v>
      </c>
      <c r="J199" t="str" s="7" cm="1">
        <f t="array" ref="J199">IF(ISBLANK(H199),"",IF(H199,"HER2pos",IF(G199,"HRposHER2neg","TripleNeg")))</f>
        <v>TripleNeg</v>
      </c>
      <c r="K199" s="37">
        <v>0</v>
      </c>
      <c r="L199" s="37">
        <v>2</v>
      </c>
      <c r="M199" s="34">
        <v>55</v>
      </c>
      <c r="N199" s="34">
        <v>45</v>
      </c>
      <c r="O199" s="34">
        <v>44</v>
      </c>
      <c r="P199" s="34">
        <v>0</v>
      </c>
    </row>
    <row r="200" ht="13.65" customHeight="1">
      <c r="A200" s="34">
        <v>1217</v>
      </c>
      <c r="B200" s="35">
        <v>40059</v>
      </c>
      <c r="C200" s="36">
        <v>50.09</v>
      </c>
      <c r="D200" s="37">
        <v>1</v>
      </c>
      <c r="E200" s="37">
        <v>1</v>
      </c>
      <c r="F200" s="37">
        <v>1</v>
      </c>
      <c r="G200" s="37">
        <v>1</v>
      </c>
      <c r="H200" s="34">
        <v>0</v>
      </c>
      <c r="I200" s="34" cm="1">
        <f t="array" ref="I200">IF(ISBLANK(H200),"",IF(H200,2,IF(G200,1,3)))</f>
        <v>1</v>
      </c>
      <c r="J200" t="str" s="7" cm="1">
        <f t="array" ref="J200">IF(ISBLANK(H200),"",IF(H200,"HER2pos",IF(G200,"HRposHER2neg","TripleNeg")))</f>
        <v>HRposHER2neg</v>
      </c>
      <c r="K200" s="37">
        <v>0</v>
      </c>
      <c r="L200" s="37">
        <v>2</v>
      </c>
      <c r="M200" s="34">
        <v>25</v>
      </c>
      <c r="N200" s="34">
        <v>24</v>
      </c>
      <c r="O200" s="34">
        <v>16</v>
      </c>
      <c r="P200" s="34">
        <v>0</v>
      </c>
    </row>
    <row r="201" ht="13.65" customHeight="1">
      <c r="A201" s="34">
        <v>1218</v>
      </c>
      <c r="B201" s="35">
        <v>40059</v>
      </c>
      <c r="C201" s="36">
        <v>47.82</v>
      </c>
      <c r="D201" s="37">
        <v>3</v>
      </c>
      <c r="E201" s="37">
        <v>0</v>
      </c>
      <c r="F201" s="37">
        <v>0</v>
      </c>
      <c r="G201" s="37">
        <v>0</v>
      </c>
      <c r="H201" s="34">
        <v>0</v>
      </c>
      <c r="I201" s="34" cm="1">
        <f t="array" ref="I201">IF(ISBLANK(H201),"",IF(H201,2,IF(G201,1,3)))</f>
        <v>3</v>
      </c>
      <c r="J201" t="str" s="7" cm="1">
        <f t="array" ref="J201">IF(ISBLANK(H201),"",IF(H201,"HER2pos",IF(G201,"HRposHER2neg","TripleNeg")))</f>
        <v>TripleNeg</v>
      </c>
      <c r="K201" s="37">
        <v>0</v>
      </c>
      <c r="L201" s="37">
        <v>1</v>
      </c>
      <c r="M201" s="34">
        <v>113</v>
      </c>
      <c r="N201" s="34">
        <v>94</v>
      </c>
      <c r="O201" s="34">
        <v>44</v>
      </c>
      <c r="P201" s="34">
        <v>0</v>
      </c>
    </row>
    <row r="202" ht="13.65" customHeight="1">
      <c r="A202" s="34">
        <v>1219</v>
      </c>
      <c r="B202" s="35">
        <v>40059</v>
      </c>
      <c r="C202" s="36">
        <v>45.98</v>
      </c>
      <c r="D202" s="37">
        <v>1</v>
      </c>
      <c r="E202" s="37">
        <v>1</v>
      </c>
      <c r="F202" s="37">
        <v>1</v>
      </c>
      <c r="G202" s="37">
        <v>1</v>
      </c>
      <c r="H202" s="34">
        <v>0</v>
      </c>
      <c r="I202" s="34" cm="1">
        <f t="array" ref="I202">IF(ISBLANK(H202),"",IF(H202,2,IF(G202,1,3)))</f>
        <v>1</v>
      </c>
      <c r="J202" t="str" s="7" cm="1">
        <f t="array" ref="J202">IF(ISBLANK(H202),"",IF(H202,"HER2pos",IF(G202,"HRposHER2neg","TripleNeg")))</f>
        <v>HRposHER2neg</v>
      </c>
      <c r="K202" s="37">
        <v>0</v>
      </c>
      <c r="L202" s="37">
        <v>1</v>
      </c>
      <c r="M202" s="34">
        <v>53</v>
      </c>
      <c r="N202" s="34">
        <v>49</v>
      </c>
      <c r="O202" s="34">
        <v>40</v>
      </c>
      <c r="P202" s="7"/>
    </row>
    <row r="203" ht="13.65" customHeight="1">
      <c r="A203" s="34">
        <v>1220</v>
      </c>
      <c r="B203" s="35">
        <v>40059</v>
      </c>
      <c r="C203" s="36">
        <v>43.12</v>
      </c>
      <c r="D203" s="37">
        <v>1</v>
      </c>
      <c r="E203" s="37">
        <v>0</v>
      </c>
      <c r="F203" s="37">
        <v>0</v>
      </c>
      <c r="G203" s="37">
        <v>0</v>
      </c>
      <c r="H203" s="34">
        <v>0</v>
      </c>
      <c r="I203" s="34" cm="1">
        <f t="array" ref="I203">IF(ISBLANK(H203),"",IF(H203,2,IF(G203,1,3)))</f>
        <v>3</v>
      </c>
      <c r="J203" t="str" s="7" cm="1">
        <f t="array" ref="J203">IF(ISBLANK(H203),"",IF(H203,"HER2pos",IF(G203,"HRposHER2neg","TripleNeg")))</f>
        <v>TripleNeg</v>
      </c>
      <c r="K203" s="37">
        <v>0</v>
      </c>
      <c r="L203" s="37">
        <v>2</v>
      </c>
      <c r="M203" s="34">
        <v>79</v>
      </c>
      <c r="N203" s="34">
        <v>72</v>
      </c>
      <c r="O203" s="34">
        <v>17</v>
      </c>
      <c r="P203" s="34">
        <v>0</v>
      </c>
    </row>
    <row r="204" ht="13.65" customHeight="1">
      <c r="A204" s="34">
        <v>1221</v>
      </c>
      <c r="B204" s="35">
        <v>40059</v>
      </c>
      <c r="C204" s="36">
        <v>52.54</v>
      </c>
      <c r="D204" s="37">
        <v>1</v>
      </c>
      <c r="E204" s="37">
        <v>1</v>
      </c>
      <c r="F204" s="37">
        <v>0</v>
      </c>
      <c r="G204" s="37">
        <v>1</v>
      </c>
      <c r="H204" s="34">
        <v>1</v>
      </c>
      <c r="I204" s="34" cm="1">
        <f t="array" ref="I204">IF(ISBLANK(H204),"",IF(H204,2,IF(G204,1,3)))</f>
        <v>2</v>
      </c>
      <c r="J204" t="str" s="7" cm="1">
        <f t="array" ref="J204">IF(ISBLANK(H204),"",IF(H204,"HER2pos",IF(G204,"HRposHER2neg","TripleNeg")))</f>
        <v>HER2pos</v>
      </c>
      <c r="K204" s="37">
        <v>0</v>
      </c>
      <c r="L204" s="37">
        <v>1</v>
      </c>
      <c r="M204" s="34">
        <v>117</v>
      </c>
      <c r="N204" s="34">
        <v>100</v>
      </c>
      <c r="O204" s="34">
        <v>114</v>
      </c>
      <c r="P204" s="34">
        <v>114</v>
      </c>
    </row>
    <row r="205" ht="13.65" customHeight="1">
      <c r="A205" s="34">
        <v>1222</v>
      </c>
      <c r="B205" s="35">
        <v>40059</v>
      </c>
      <c r="C205" s="36">
        <v>55.52</v>
      </c>
      <c r="D205" s="37">
        <v>1</v>
      </c>
      <c r="E205" s="37">
        <v>0</v>
      </c>
      <c r="F205" s="37">
        <v>0</v>
      </c>
      <c r="G205" s="37">
        <v>0</v>
      </c>
      <c r="H205" s="34">
        <v>1</v>
      </c>
      <c r="I205" s="34" cm="1">
        <f t="array" ref="I205">IF(ISBLANK(H205),"",IF(H205,2,IF(G205,1,3)))</f>
        <v>2</v>
      </c>
      <c r="J205" t="str" s="7" cm="1">
        <f t="array" ref="J205">IF(ISBLANK(H205),"",IF(H205,"HER2pos",IF(G205,"HRposHER2neg","TripleNeg")))</f>
        <v>HER2pos</v>
      </c>
      <c r="K205" s="37">
        <v>0</v>
      </c>
      <c r="L205" s="37">
        <v>1</v>
      </c>
      <c r="M205" s="34">
        <v>56</v>
      </c>
      <c r="N205" s="34">
        <v>61</v>
      </c>
      <c r="O205" s="34">
        <v>67</v>
      </c>
      <c r="P205" s="34">
        <v>0</v>
      </c>
    </row>
    <row r="206" ht="13.65" customHeight="1">
      <c r="A206" s="34">
        <v>1223</v>
      </c>
      <c r="B206" s="35">
        <v>40059</v>
      </c>
      <c r="C206" s="36">
        <v>59.82</v>
      </c>
      <c r="D206" s="37">
        <v>1</v>
      </c>
      <c r="E206" s="37">
        <v>1</v>
      </c>
      <c r="F206" s="37">
        <v>1</v>
      </c>
      <c r="G206" s="37">
        <v>1</v>
      </c>
      <c r="H206" s="34">
        <v>0</v>
      </c>
      <c r="I206" s="34" cm="1">
        <f t="array" ref="I206">IF(ISBLANK(H206),"",IF(H206,2,IF(G206,1,3)))</f>
        <v>1</v>
      </c>
      <c r="J206" t="str" s="7" cm="1">
        <f t="array" ref="J206">IF(ISBLANK(H206),"",IF(H206,"HER2pos",IF(G206,"HRposHER2neg","TripleNeg")))</f>
        <v>HRposHER2neg</v>
      </c>
      <c r="K206" s="37">
        <v>0</v>
      </c>
      <c r="L206" s="37">
        <v>2</v>
      </c>
      <c r="M206" s="34">
        <v>27</v>
      </c>
      <c r="N206" s="34">
        <v>20</v>
      </c>
      <c r="O206" s="34">
        <v>15</v>
      </c>
      <c r="P206" s="34">
        <v>14</v>
      </c>
    </row>
    <row r="207" ht="13.65" customHeight="1">
      <c r="A207" s="34">
        <v>1224</v>
      </c>
      <c r="B207" s="35">
        <v>40059</v>
      </c>
      <c r="C207" s="36">
        <v>61.13</v>
      </c>
      <c r="D207" s="37">
        <v>3</v>
      </c>
      <c r="E207" s="37">
        <v>1</v>
      </c>
      <c r="F207" s="37">
        <v>0</v>
      </c>
      <c r="G207" s="37">
        <v>1</v>
      </c>
      <c r="H207" s="34">
        <v>1</v>
      </c>
      <c r="I207" s="34" cm="1">
        <f t="array" ref="I207">IF(ISBLANK(H207),"",IF(H207,2,IF(G207,1,3)))</f>
        <v>2</v>
      </c>
      <c r="J207" t="str" s="7" cm="1">
        <f t="array" ref="J207">IF(ISBLANK(H207),"",IF(H207,"HER2pos",IF(G207,"HRposHER2neg","TripleNeg")))</f>
        <v>HER2pos</v>
      </c>
      <c r="K207" s="37">
        <v>0</v>
      </c>
      <c r="L207" s="37">
        <v>1</v>
      </c>
      <c r="M207" s="34">
        <v>24</v>
      </c>
      <c r="N207" s="34">
        <v>26</v>
      </c>
      <c r="O207" s="34">
        <v>19</v>
      </c>
      <c r="P207" s="34">
        <v>0</v>
      </c>
    </row>
    <row r="208" ht="13.65" customHeight="1">
      <c r="A208" s="34">
        <v>1225</v>
      </c>
      <c r="B208" s="35">
        <v>40059</v>
      </c>
      <c r="C208" s="36">
        <v>47.84</v>
      </c>
      <c r="D208" s="37">
        <v>1</v>
      </c>
      <c r="E208" s="37">
        <v>1</v>
      </c>
      <c r="F208" s="37">
        <v>1</v>
      </c>
      <c r="G208" s="37">
        <v>1</v>
      </c>
      <c r="H208" s="34">
        <v>0</v>
      </c>
      <c r="I208" s="34" cm="1">
        <f t="array" ref="I208">IF(ISBLANK(H208),"",IF(H208,2,IF(G208,1,3)))</f>
        <v>1</v>
      </c>
      <c r="J208" t="str" s="7" cm="1">
        <f t="array" ref="J208">IF(ISBLANK(H208),"",IF(H208,"HER2pos",IF(G208,"HRposHER2neg","TripleNeg")))</f>
        <v>HRposHER2neg</v>
      </c>
      <c r="K208" s="37">
        <v>0</v>
      </c>
      <c r="L208" s="37">
        <v>2</v>
      </c>
      <c r="M208" s="34">
        <v>89</v>
      </c>
      <c r="N208" s="34">
        <v>86</v>
      </c>
      <c r="O208" s="34">
        <v>22</v>
      </c>
      <c r="P208" s="34">
        <v>12</v>
      </c>
    </row>
    <row r="209" ht="13.65" customHeight="1">
      <c r="A209" s="34">
        <v>1226</v>
      </c>
      <c r="B209" s="35">
        <v>40059</v>
      </c>
      <c r="C209" s="36">
        <v>42.08</v>
      </c>
      <c r="D209" s="37">
        <v>1</v>
      </c>
      <c r="E209" s="37">
        <v>1</v>
      </c>
      <c r="F209" s="37">
        <v>1</v>
      </c>
      <c r="G209" s="37">
        <v>1</v>
      </c>
      <c r="H209" s="34">
        <v>0</v>
      </c>
      <c r="I209" s="34" cm="1">
        <f t="array" ref="I209">IF(ISBLANK(H209),"",IF(H209,2,IF(G209,1,3)))</f>
        <v>1</v>
      </c>
      <c r="J209" t="str" s="7" cm="1">
        <f t="array" ref="J209">IF(ISBLANK(H209),"",IF(H209,"HER2pos",IF(G209,"HRposHER2neg","TripleNeg")))</f>
        <v>HRposHER2neg</v>
      </c>
      <c r="K209" s="37">
        <v>0</v>
      </c>
      <c r="L209" s="37">
        <v>1</v>
      </c>
      <c r="M209" s="34">
        <v>49</v>
      </c>
      <c r="N209" s="34">
        <v>43</v>
      </c>
      <c r="O209" s="34">
        <v>41</v>
      </c>
      <c r="P209" s="34">
        <v>28</v>
      </c>
    </row>
    <row r="210" ht="13.65" customHeight="1">
      <c r="A210" s="34">
        <v>1227</v>
      </c>
      <c r="B210" s="35">
        <v>40059</v>
      </c>
      <c r="C210" s="36">
        <v>42.46</v>
      </c>
      <c r="D210" s="37">
        <v>1</v>
      </c>
      <c r="E210" s="37">
        <v>0</v>
      </c>
      <c r="F210" s="37">
        <v>0</v>
      </c>
      <c r="G210" s="37">
        <v>0</v>
      </c>
      <c r="H210" s="34">
        <v>0</v>
      </c>
      <c r="I210" s="34" cm="1">
        <f t="array" ref="I210">IF(ISBLANK(H210),"",IF(H210,2,IF(G210,1,3)))</f>
        <v>3</v>
      </c>
      <c r="J210" t="str" s="7" cm="1">
        <f t="array" ref="J210">IF(ISBLANK(H210),"",IF(H210,"HER2pos",IF(G210,"HRposHER2neg","TripleNeg")))</f>
        <v>TripleNeg</v>
      </c>
      <c r="K210" s="37">
        <v>0</v>
      </c>
      <c r="L210" s="37">
        <v>2</v>
      </c>
      <c r="M210" s="34">
        <v>49</v>
      </c>
      <c r="N210" s="34">
        <v>57</v>
      </c>
      <c r="O210" s="7"/>
      <c r="P210" s="34">
        <v>0</v>
      </c>
    </row>
    <row r="211" ht="13.65" customHeight="1">
      <c r="A211" s="34">
        <v>1228</v>
      </c>
      <c r="B211" s="35">
        <v>40059</v>
      </c>
      <c r="C211" s="36">
        <v>53.25</v>
      </c>
      <c r="D211" s="37">
        <v>3</v>
      </c>
      <c r="E211" s="37">
        <v>0</v>
      </c>
      <c r="F211" s="37">
        <v>0</v>
      </c>
      <c r="G211" s="37">
        <v>0</v>
      </c>
      <c r="H211" s="34">
        <v>1</v>
      </c>
      <c r="I211" s="34" cm="1">
        <f t="array" ref="I211">IF(ISBLANK(H211),"",IF(H211,2,IF(G211,1,3)))</f>
        <v>2</v>
      </c>
      <c r="J211" t="str" s="7" cm="1">
        <f t="array" ref="J211">IF(ISBLANK(H211),"",IF(H211,"HER2pos",IF(G211,"HRposHER2neg","TripleNeg")))</f>
        <v>HER2pos</v>
      </c>
      <c r="K211" s="37">
        <v>0</v>
      </c>
      <c r="L211" s="37">
        <v>1</v>
      </c>
      <c r="M211" s="34">
        <v>120</v>
      </c>
      <c r="N211" s="34">
        <v>117</v>
      </c>
      <c r="O211" s="34">
        <v>6</v>
      </c>
      <c r="P211" s="34">
        <v>5</v>
      </c>
    </row>
    <row r="212" ht="13.65" customHeight="1">
      <c r="A212" s="34">
        <v>1229</v>
      </c>
      <c r="B212" s="35">
        <v>40059</v>
      </c>
      <c r="C212" s="36">
        <v>50.79</v>
      </c>
      <c r="D212" s="37">
        <v>1</v>
      </c>
      <c r="E212" s="37">
        <v>0</v>
      </c>
      <c r="F212" s="37">
        <v>0</v>
      </c>
      <c r="G212" s="37">
        <v>0</v>
      </c>
      <c r="H212" s="34">
        <v>0</v>
      </c>
      <c r="I212" s="34" cm="1">
        <f t="array" ref="I212">IF(ISBLANK(H212),"",IF(H212,2,IF(G212,1,3)))</f>
        <v>3</v>
      </c>
      <c r="J212" t="str" s="7" cm="1">
        <f t="array" ref="J212">IF(ISBLANK(H212),"",IF(H212,"HER2pos",IF(G212,"HRposHER2neg","TripleNeg")))</f>
        <v>TripleNeg</v>
      </c>
      <c r="K212" s="37">
        <v>0</v>
      </c>
      <c r="L212" s="37">
        <v>1</v>
      </c>
      <c r="M212" s="34">
        <v>56</v>
      </c>
      <c r="N212" s="34">
        <v>43</v>
      </c>
      <c r="O212" s="34">
        <v>21</v>
      </c>
      <c r="P212" s="34">
        <v>4</v>
      </c>
    </row>
    <row r="213" ht="13.65" customHeight="1">
      <c r="A213" s="34">
        <v>1230</v>
      </c>
      <c r="B213" s="35">
        <v>40059</v>
      </c>
      <c r="C213" s="36">
        <v>53.45</v>
      </c>
      <c r="D213" s="37">
        <v>3</v>
      </c>
      <c r="E213" s="37">
        <v>0</v>
      </c>
      <c r="F213" s="37">
        <v>1</v>
      </c>
      <c r="G213" s="37">
        <v>1</v>
      </c>
      <c r="H213" s="34">
        <v>0</v>
      </c>
      <c r="I213" s="34" cm="1">
        <f t="array" ref="I213">IF(ISBLANK(H213),"",IF(H213,2,IF(G213,1,3)))</f>
        <v>1</v>
      </c>
      <c r="J213" t="str" s="7" cm="1">
        <f t="array" ref="J213">IF(ISBLANK(H213),"",IF(H213,"HER2pos",IF(G213,"HRposHER2neg","TripleNeg")))</f>
        <v>HRposHER2neg</v>
      </c>
      <c r="K213" s="37">
        <v>0</v>
      </c>
      <c r="L213" s="37">
        <v>1</v>
      </c>
      <c r="M213" s="34">
        <v>60</v>
      </c>
      <c r="N213" s="34">
        <v>61</v>
      </c>
      <c r="O213" s="34">
        <v>72</v>
      </c>
      <c r="P213" s="34">
        <v>60</v>
      </c>
    </row>
    <row r="214" ht="13.65" customHeight="1">
      <c r="A214" s="34">
        <v>1231</v>
      </c>
      <c r="B214" s="35">
        <v>40059</v>
      </c>
      <c r="C214" s="36">
        <v>45.5</v>
      </c>
      <c r="D214" s="37">
        <v>1</v>
      </c>
      <c r="E214" s="37">
        <v>1</v>
      </c>
      <c r="F214" s="37">
        <v>1</v>
      </c>
      <c r="G214" s="37">
        <v>1</v>
      </c>
      <c r="H214" s="34">
        <v>0</v>
      </c>
      <c r="I214" s="34" cm="1">
        <f t="array" ref="I214">IF(ISBLANK(H214),"",IF(H214,2,IF(G214,1,3)))</f>
        <v>1</v>
      </c>
      <c r="J214" t="str" s="7" cm="1">
        <f t="array" ref="J214">IF(ISBLANK(H214),"",IF(H214,"HER2pos",IF(G214,"HRposHER2neg","TripleNeg")))</f>
        <v>HRposHER2neg</v>
      </c>
      <c r="K214" s="37">
        <v>0</v>
      </c>
      <c r="L214" s="37">
        <v>1</v>
      </c>
      <c r="M214" s="34">
        <v>81</v>
      </c>
      <c r="N214" s="7"/>
      <c r="O214" s="34">
        <v>64</v>
      </c>
      <c r="P214" s="34">
        <v>56</v>
      </c>
    </row>
    <row r="215" ht="13.65" customHeight="1">
      <c r="A215" s="34">
        <v>1232</v>
      </c>
      <c r="B215" s="35">
        <v>40059</v>
      </c>
      <c r="C215" s="36">
        <v>49.97</v>
      </c>
      <c r="D215" s="37">
        <v>1</v>
      </c>
      <c r="E215" s="37">
        <v>1</v>
      </c>
      <c r="F215" s="37">
        <v>1</v>
      </c>
      <c r="G215" s="37">
        <v>1</v>
      </c>
      <c r="H215" s="34">
        <v>0</v>
      </c>
      <c r="I215" s="34" cm="1">
        <f t="array" ref="I215">IF(ISBLANK(H215),"",IF(H215,2,IF(G215,1,3)))</f>
        <v>1</v>
      </c>
      <c r="J215" t="str" s="7" cm="1">
        <f t="array" ref="J215">IF(ISBLANK(H215),"",IF(H215,"HER2pos",IF(G215,"HRposHER2neg","TripleNeg")))</f>
        <v>HRposHER2neg</v>
      </c>
      <c r="K215" s="37">
        <v>0</v>
      </c>
      <c r="L215" s="37">
        <v>1</v>
      </c>
      <c r="M215" s="34">
        <v>89</v>
      </c>
      <c r="N215" s="34">
        <v>76</v>
      </c>
      <c r="O215" s="34">
        <v>48</v>
      </c>
      <c r="P215" s="34">
        <v>24</v>
      </c>
    </row>
    <row r="216" ht="13.65" customHeight="1">
      <c r="A216" s="34">
        <v>1233</v>
      </c>
      <c r="B216" s="35">
        <v>40059</v>
      </c>
      <c r="C216" s="36">
        <v>27.85</v>
      </c>
      <c r="D216" s="37">
        <v>3</v>
      </c>
      <c r="E216" s="37">
        <v>1</v>
      </c>
      <c r="F216" s="37">
        <v>0</v>
      </c>
      <c r="G216" s="37">
        <v>1</v>
      </c>
      <c r="H216" s="34">
        <v>0</v>
      </c>
      <c r="I216" s="34" cm="1">
        <f t="array" ref="I216">IF(ISBLANK(H216),"",IF(H216,2,IF(G216,1,3)))</f>
        <v>1</v>
      </c>
      <c r="J216" t="str" s="7" cm="1">
        <f t="array" ref="J216">IF(ISBLANK(H216),"",IF(H216,"HER2pos",IF(G216,"HRposHER2neg","TripleNeg")))</f>
        <v>HRposHER2neg</v>
      </c>
      <c r="K216" s="37">
        <v>0</v>
      </c>
      <c r="L216" s="37">
        <v>2</v>
      </c>
      <c r="M216" s="34">
        <v>26</v>
      </c>
      <c r="N216" s="34">
        <v>18</v>
      </c>
      <c r="O216" s="34">
        <v>11</v>
      </c>
      <c r="P216" s="34">
        <v>3</v>
      </c>
    </row>
    <row r="217" ht="13.65" customHeight="1">
      <c r="A217" s="34">
        <v>1234</v>
      </c>
      <c r="B217" s="35">
        <v>40059</v>
      </c>
      <c r="C217" s="36">
        <v>38.1</v>
      </c>
      <c r="D217" s="37">
        <v>1</v>
      </c>
      <c r="E217" s="37">
        <v>1</v>
      </c>
      <c r="F217" s="37">
        <v>1</v>
      </c>
      <c r="G217" s="37">
        <v>1</v>
      </c>
      <c r="H217" s="34">
        <v>1</v>
      </c>
      <c r="I217" s="34" cm="1">
        <f t="array" ref="I217">IF(ISBLANK(H217),"",IF(H217,2,IF(G217,1,3)))</f>
        <v>2</v>
      </c>
      <c r="J217" t="str" s="7" cm="1">
        <f t="array" ref="J217">IF(ISBLANK(H217),"",IF(H217,"HER2pos",IF(G217,"HRposHER2neg","TripleNeg")))</f>
        <v>HER2pos</v>
      </c>
      <c r="K217" s="37">
        <v>0</v>
      </c>
      <c r="L217" s="37">
        <v>2</v>
      </c>
      <c r="M217" s="34">
        <v>19</v>
      </c>
      <c r="N217" s="34">
        <v>16</v>
      </c>
      <c r="O217" s="34">
        <v>12</v>
      </c>
      <c r="P217" s="34">
        <v>0</v>
      </c>
    </row>
    <row r="218" ht="13.65" customHeight="1">
      <c r="A218" s="34">
        <v>1235</v>
      </c>
      <c r="B218" s="35">
        <v>40059</v>
      </c>
      <c r="C218" s="36">
        <v>64.06</v>
      </c>
      <c r="D218" s="37">
        <v>1</v>
      </c>
      <c r="E218" s="37">
        <v>0</v>
      </c>
      <c r="F218" s="37">
        <v>0</v>
      </c>
      <c r="G218" s="37">
        <v>0</v>
      </c>
      <c r="H218" s="34">
        <v>1</v>
      </c>
      <c r="I218" s="34" cm="1">
        <f t="array" ref="I218">IF(ISBLANK(H218),"",IF(H218,2,IF(G218,1,3)))</f>
        <v>2</v>
      </c>
      <c r="J218" t="str" s="7" cm="1">
        <f t="array" ref="J218">IF(ISBLANK(H218),"",IF(H218,"HER2pos",IF(G218,"HRposHER2neg","TripleNeg")))</f>
        <v>HER2pos</v>
      </c>
      <c r="K218" s="37">
        <v>0</v>
      </c>
      <c r="L218" s="37">
        <v>2</v>
      </c>
      <c r="M218" s="34">
        <v>52</v>
      </c>
      <c r="N218" s="34">
        <v>50</v>
      </c>
      <c r="O218" s="34">
        <v>28</v>
      </c>
      <c r="P218" s="34">
        <v>0</v>
      </c>
    </row>
    <row r="219" ht="13.65" customHeight="1">
      <c r="A219" s="34">
        <v>1236</v>
      </c>
      <c r="B219" s="35">
        <v>40059</v>
      </c>
      <c r="C219" s="36">
        <v>38.61</v>
      </c>
      <c r="D219" s="37">
        <v>3</v>
      </c>
      <c r="E219" s="37">
        <v>0</v>
      </c>
      <c r="F219" s="37">
        <v>1</v>
      </c>
      <c r="G219" s="37">
        <v>1</v>
      </c>
      <c r="H219" s="34">
        <v>0</v>
      </c>
      <c r="I219" s="34" cm="1">
        <f t="array" ref="I219">IF(ISBLANK(H219),"",IF(H219,2,IF(G219,1,3)))</f>
        <v>1</v>
      </c>
      <c r="J219" t="str" s="7" cm="1">
        <f t="array" ref="J219">IF(ISBLANK(H219),"",IF(H219,"HER2pos",IF(G219,"HRposHER2neg","TripleNeg")))</f>
        <v>HRposHER2neg</v>
      </c>
      <c r="K219" s="37">
        <v>0</v>
      </c>
      <c r="L219" s="37">
        <v>2</v>
      </c>
      <c r="M219" s="34">
        <v>51</v>
      </c>
      <c r="N219" s="34">
        <v>52</v>
      </c>
      <c r="O219" s="34">
        <v>35</v>
      </c>
      <c r="P219" s="34">
        <v>23</v>
      </c>
    </row>
    <row r="220" ht="13.65" customHeight="1">
      <c r="A220" s="34">
        <v>1237</v>
      </c>
      <c r="B220" s="35">
        <v>40059</v>
      </c>
      <c r="C220" s="36">
        <v>46.46</v>
      </c>
      <c r="D220" s="37">
        <v>1</v>
      </c>
      <c r="E220" s="37">
        <v>1</v>
      </c>
      <c r="F220" s="37">
        <v>1</v>
      </c>
      <c r="G220" s="37">
        <v>1</v>
      </c>
      <c r="H220" s="34">
        <v>1</v>
      </c>
      <c r="I220" s="34" cm="1">
        <f t="array" ref="I220">IF(ISBLANK(H220),"",IF(H220,2,IF(G220,1,3)))</f>
        <v>2</v>
      </c>
      <c r="J220" t="str" s="7" cm="1">
        <f t="array" ref="J220">IF(ISBLANK(H220),"",IF(H220,"HER2pos",IF(G220,"HRposHER2neg","TripleNeg")))</f>
        <v>HER2pos</v>
      </c>
      <c r="K220" s="37">
        <v>0</v>
      </c>
      <c r="L220" s="37">
        <v>2</v>
      </c>
      <c r="M220" s="34">
        <v>60</v>
      </c>
      <c r="N220" s="34">
        <v>60</v>
      </c>
      <c r="O220" s="34">
        <v>37</v>
      </c>
      <c r="P220" s="34">
        <v>36</v>
      </c>
    </row>
    <row r="221" ht="13.65" customHeight="1">
      <c r="A221" s="34">
        <v>1238</v>
      </c>
      <c r="B221" s="35">
        <v>40059</v>
      </c>
      <c r="C221" s="36">
        <v>59.05</v>
      </c>
      <c r="D221" s="37">
        <v>3</v>
      </c>
      <c r="E221" s="37">
        <v>1</v>
      </c>
      <c r="F221" s="37">
        <v>1</v>
      </c>
      <c r="G221" s="37">
        <v>1</v>
      </c>
      <c r="H221" s="34">
        <v>1</v>
      </c>
      <c r="I221" s="34" cm="1">
        <f t="array" ref="I221">IF(ISBLANK(H221),"",IF(H221,2,IF(G221,1,3)))</f>
        <v>2</v>
      </c>
      <c r="J221" t="str" s="7" cm="1">
        <f t="array" ref="J221">IF(ISBLANK(H221),"",IF(H221,"HER2pos",IF(G221,"HRposHER2neg","TripleNeg")))</f>
        <v>HER2pos</v>
      </c>
      <c r="K221" s="37">
        <v>0</v>
      </c>
      <c r="L221" s="37">
        <v>2</v>
      </c>
      <c r="M221" s="34">
        <v>48</v>
      </c>
      <c r="N221" s="7"/>
      <c r="O221" s="7"/>
      <c r="P221" s="7"/>
    </row>
    <row r="222" ht="13.65" customHeight="1">
      <c r="A222" s="34">
        <v>1239</v>
      </c>
      <c r="B222" s="35">
        <v>40059</v>
      </c>
      <c r="C222" s="36">
        <v>48.57</v>
      </c>
      <c r="D222" s="37">
        <v>4</v>
      </c>
      <c r="E222" s="37">
        <v>1</v>
      </c>
      <c r="F222" s="37">
        <v>1</v>
      </c>
      <c r="G222" s="37">
        <v>1</v>
      </c>
      <c r="H222" s="34">
        <v>0</v>
      </c>
      <c r="I222" s="34" cm="1">
        <f t="array" ref="I222">IF(ISBLANK(H222),"",IF(H222,2,IF(G222,1,3)))</f>
        <v>1</v>
      </c>
      <c r="J222" t="str" s="7" cm="1">
        <f t="array" ref="J222">IF(ISBLANK(H222),"",IF(H222,"HER2pos",IF(G222,"HRposHER2neg","TripleNeg")))</f>
        <v>HRposHER2neg</v>
      </c>
      <c r="K222" s="37">
        <v>0</v>
      </c>
      <c r="L222" s="37">
        <v>1</v>
      </c>
      <c r="M222" s="34">
        <v>74</v>
      </c>
      <c r="N222" s="34">
        <v>63</v>
      </c>
      <c r="O222" s="34">
        <v>12</v>
      </c>
      <c r="P222" s="34">
        <v>10</v>
      </c>
    </row>
    <row r="223" ht="13.65" customHeight="1">
      <c r="A223" s="7"/>
      <c r="B223" s="7"/>
      <c r="C223" s="7"/>
      <c r="D223" s="7"/>
      <c r="E223" s="7"/>
      <c r="F223" s="7"/>
      <c r="G223" s="7"/>
      <c r="H223" s="7"/>
      <c r="I223" s="7"/>
      <c r="J223" s="7"/>
      <c r="K223" s="37"/>
      <c r="L223" s="37"/>
      <c r="M223" s="7"/>
      <c r="N223" s="7"/>
      <c r="O223" s="7"/>
      <c r="P223" s="7"/>
    </row>
  </sheetData>
  <pageMargins left="0.75" right="0.75" top="0" bottom="0"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36"/>
  <sheetViews>
    <sheetView workbookViewId="0" showGridLines="0" defaultGridColor="1"/>
  </sheetViews>
  <sheetFormatPr defaultColWidth="10.8333" defaultRowHeight="12" customHeight="1" outlineLevelRow="0" outlineLevelCol="0"/>
  <cols>
    <col min="1" max="1" width="3.67188" style="38" customWidth="1"/>
    <col min="2" max="2" width="12.8516" style="38" customWidth="1"/>
    <col min="3" max="3" width="44.1719" style="38" customWidth="1"/>
    <col min="4" max="4" width="13.6719" style="38" customWidth="1"/>
    <col min="5" max="5" width="10.8516" style="38" customWidth="1"/>
    <col min="6" max="16384" width="10.8516" style="38" customWidth="1"/>
  </cols>
  <sheetData>
    <row r="1" ht="15" customHeight="1">
      <c r="A1" s="39"/>
      <c r="B1" t="s" s="9">
        <v>99</v>
      </c>
      <c r="C1" s="39"/>
      <c r="D1" s="39"/>
      <c r="E1" s="39"/>
    </row>
    <row r="2" ht="15" customHeight="1">
      <c r="A2" s="39"/>
      <c r="B2" t="s" s="9">
        <v>100</v>
      </c>
      <c r="C2" s="39"/>
      <c r="D2" s="39"/>
      <c r="E2" s="39"/>
    </row>
    <row r="3" ht="15" customHeight="1">
      <c r="A3" s="39"/>
      <c r="B3" s="10"/>
      <c r="C3" s="39"/>
      <c r="D3" s="39"/>
      <c r="E3" s="39"/>
    </row>
    <row r="4" ht="15" customHeight="1">
      <c r="A4" s="39"/>
      <c r="B4" t="s" s="9">
        <v>9</v>
      </c>
      <c r="C4" s="39"/>
      <c r="D4" s="39"/>
      <c r="E4" s="39"/>
    </row>
    <row r="5" ht="15" customHeight="1">
      <c r="A5" s="39"/>
      <c r="B5" s="10"/>
      <c r="C5" s="39"/>
      <c r="D5" s="39"/>
      <c r="E5" s="39"/>
    </row>
    <row r="6" ht="15" customHeight="1">
      <c r="A6" s="39"/>
      <c r="B6" t="s" s="9">
        <v>10</v>
      </c>
      <c r="C6" s="39"/>
      <c r="D6" s="39"/>
      <c r="E6" s="39"/>
    </row>
    <row r="7" ht="36" customHeight="1">
      <c r="A7" s="39"/>
      <c r="B7" t="s" s="9">
        <v>11</v>
      </c>
      <c r="C7" t="s" s="11">
        <v>101</v>
      </c>
      <c r="D7" s="39"/>
      <c r="E7" s="39"/>
    </row>
    <row r="8" ht="15" customHeight="1">
      <c r="A8" s="39"/>
      <c r="B8" s="10"/>
      <c r="C8" s="39"/>
      <c r="D8" s="39"/>
      <c r="E8" s="39"/>
    </row>
    <row r="9" ht="16" customHeight="1">
      <c r="A9" s="39"/>
      <c r="B9" s="12"/>
      <c r="C9" s="40"/>
      <c r="D9" s="40"/>
      <c r="E9" s="39"/>
    </row>
    <row r="10" ht="31" customHeight="1">
      <c r="A10" s="41"/>
      <c r="B10" t="s" s="15">
        <v>13</v>
      </c>
      <c r="C10" t="s" s="15">
        <v>14</v>
      </c>
      <c r="D10" t="s" s="15">
        <v>15</v>
      </c>
      <c r="E10" s="42"/>
    </row>
    <row r="11" ht="74" customHeight="1">
      <c r="A11" s="41"/>
      <c r="B11" t="s" s="17">
        <v>16</v>
      </c>
      <c r="C11" t="s" s="17">
        <v>17</v>
      </c>
      <c r="D11" t="s" s="17">
        <v>18</v>
      </c>
      <c r="E11" s="42"/>
    </row>
    <row r="12" ht="16" customHeight="1">
      <c r="A12" s="41"/>
      <c r="B12" s="18"/>
      <c r="C12" s="18"/>
      <c r="D12" t="s" s="19">
        <v>19</v>
      </c>
      <c r="E12" s="42"/>
    </row>
    <row r="13" ht="74" customHeight="1">
      <c r="A13" s="41"/>
      <c r="B13" t="s" s="17">
        <v>20</v>
      </c>
      <c r="C13" t="s" s="17">
        <v>21</v>
      </c>
      <c r="D13" t="s" s="17">
        <v>22</v>
      </c>
      <c r="E13" s="42"/>
    </row>
    <row r="14" ht="16" customHeight="1">
      <c r="A14" s="41"/>
      <c r="B14" s="18"/>
      <c r="C14" s="18"/>
      <c r="D14" t="s" s="19">
        <v>23</v>
      </c>
      <c r="E14" s="42"/>
    </row>
    <row r="15" ht="15" customHeight="1">
      <c r="A15" s="41"/>
      <c r="B15" t="s" s="17">
        <v>102</v>
      </c>
      <c r="C15" t="s" s="17">
        <v>103</v>
      </c>
      <c r="D15" t="s" s="17">
        <v>27</v>
      </c>
      <c r="E15" s="42"/>
    </row>
    <row r="16" ht="15" customHeight="1">
      <c r="A16" s="41"/>
      <c r="B16" s="24"/>
      <c r="C16" t="s" s="25">
        <v>104</v>
      </c>
      <c r="D16" s="24"/>
      <c r="E16" s="42"/>
    </row>
    <row r="17" ht="15" customHeight="1">
      <c r="A17" s="41"/>
      <c r="B17" s="24"/>
      <c r="C17" t="s" s="25">
        <v>105</v>
      </c>
      <c r="D17" s="24"/>
      <c r="E17" s="42"/>
    </row>
    <row r="18" ht="16" customHeight="1">
      <c r="A18" s="41"/>
      <c r="B18" s="18"/>
      <c r="C18" t="s" s="19">
        <v>106</v>
      </c>
      <c r="D18" s="18"/>
      <c r="E18" s="42"/>
    </row>
    <row r="19" ht="31" customHeight="1">
      <c r="A19" s="41"/>
      <c r="B19" t="s" s="23">
        <v>107</v>
      </c>
      <c r="C19" t="s" s="23">
        <v>108</v>
      </c>
      <c r="D19" t="s" s="23">
        <v>27</v>
      </c>
      <c r="E19" s="42"/>
    </row>
    <row r="20" ht="61" customHeight="1">
      <c r="A20" s="41"/>
      <c r="B20" t="s" s="23">
        <v>109</v>
      </c>
      <c r="C20" t="s" s="23">
        <v>110</v>
      </c>
      <c r="D20" t="s" s="23">
        <v>27</v>
      </c>
      <c r="E20" s="42"/>
    </row>
    <row r="21" ht="30" customHeight="1">
      <c r="A21" s="41"/>
      <c r="B21" t="s" s="17">
        <v>111</v>
      </c>
      <c r="C21" t="s" s="17">
        <v>112</v>
      </c>
      <c r="D21" t="s" s="17">
        <v>27</v>
      </c>
      <c r="E21" s="42"/>
    </row>
    <row r="22" ht="16" customHeight="1">
      <c r="A22" s="41"/>
      <c r="B22" s="18"/>
      <c r="C22" t="s" s="19">
        <v>113</v>
      </c>
      <c r="D22" s="18"/>
      <c r="E22" s="42"/>
    </row>
    <row r="23" ht="16" customHeight="1">
      <c r="A23" s="39"/>
      <c r="B23" s="26"/>
      <c r="C23" s="43"/>
      <c r="D23" s="43"/>
      <c r="E23" s="39"/>
    </row>
    <row r="24" ht="60" customHeight="1">
      <c r="A24" s="41"/>
      <c r="B24" t="s" s="17">
        <v>114</v>
      </c>
      <c r="C24" t="s" s="17">
        <v>115</v>
      </c>
      <c r="D24" t="s" s="17">
        <v>27</v>
      </c>
      <c r="E24" s="42"/>
    </row>
    <row r="25" ht="15" customHeight="1">
      <c r="A25" s="41"/>
      <c r="B25" s="24"/>
      <c r="C25" t="s" s="25">
        <v>116</v>
      </c>
      <c r="D25" s="24"/>
      <c r="E25" s="42"/>
    </row>
    <row r="26" ht="15" customHeight="1">
      <c r="A26" s="41"/>
      <c r="B26" s="24"/>
      <c r="C26" t="s" s="25">
        <v>117</v>
      </c>
      <c r="D26" s="24"/>
      <c r="E26" s="42"/>
    </row>
    <row r="27" ht="16" customHeight="1">
      <c r="A27" s="41"/>
      <c r="B27" s="18"/>
      <c r="C27" t="s" s="19">
        <v>118</v>
      </c>
      <c r="D27" s="18"/>
      <c r="E27" s="42"/>
    </row>
    <row r="28" ht="15" customHeight="1">
      <c r="A28" s="41"/>
      <c r="B28" t="s" s="17">
        <v>119</v>
      </c>
      <c r="C28" t="s" s="17">
        <v>120</v>
      </c>
      <c r="D28" t="s" s="17">
        <v>27</v>
      </c>
      <c r="E28" s="42"/>
    </row>
    <row r="29" ht="15" customHeight="1">
      <c r="A29" s="41"/>
      <c r="B29" s="24"/>
      <c r="C29" t="s" s="25">
        <v>121</v>
      </c>
      <c r="D29" s="24"/>
      <c r="E29" s="42"/>
    </row>
    <row r="30" ht="15" customHeight="1">
      <c r="A30" s="41"/>
      <c r="B30" s="24"/>
      <c r="C30" t="s" s="25">
        <v>122</v>
      </c>
      <c r="D30" s="24"/>
      <c r="E30" s="42"/>
    </row>
    <row r="31" ht="15" customHeight="1">
      <c r="A31" s="41"/>
      <c r="B31" s="24"/>
      <c r="C31" t="s" s="25">
        <v>123</v>
      </c>
      <c r="D31" s="24"/>
      <c r="E31" s="42"/>
    </row>
    <row r="32" ht="15" customHeight="1">
      <c r="A32" s="41"/>
      <c r="B32" s="24"/>
      <c r="C32" t="s" s="25">
        <v>124</v>
      </c>
      <c r="D32" s="24"/>
      <c r="E32" s="42"/>
    </row>
    <row r="33" ht="16" customHeight="1">
      <c r="A33" s="41"/>
      <c r="B33" s="18"/>
      <c r="C33" t="s" s="19">
        <v>125</v>
      </c>
      <c r="D33" s="18"/>
      <c r="E33" s="42"/>
    </row>
    <row r="34" ht="15" customHeight="1">
      <c r="A34" s="39"/>
      <c r="B34" s="44"/>
      <c r="C34" s="45"/>
      <c r="D34" s="45"/>
      <c r="E34" s="39"/>
    </row>
    <row r="35" ht="13" customHeight="1">
      <c r="A35" s="39"/>
      <c r="B35" s="46"/>
      <c r="C35" s="39"/>
      <c r="D35" s="39"/>
      <c r="E35" s="39"/>
    </row>
    <row r="36" ht="13" customHeight="1">
      <c r="A36" s="39"/>
      <c r="B36" s="46"/>
      <c r="C36" s="39"/>
      <c r="D36" s="39"/>
      <c r="E36" s="39"/>
    </row>
  </sheetData>
  <mergeCells count="12">
    <mergeCell ref="B28:B33"/>
    <mergeCell ref="D28:D33"/>
    <mergeCell ref="D15:D18"/>
    <mergeCell ref="B21:B22"/>
    <mergeCell ref="D21:D22"/>
    <mergeCell ref="B24:B27"/>
    <mergeCell ref="D24:D27"/>
    <mergeCell ref="B11:B12"/>
    <mergeCell ref="C11:C12"/>
    <mergeCell ref="B13:B14"/>
    <mergeCell ref="C13:C14"/>
    <mergeCell ref="B15:B18"/>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H222"/>
  <sheetViews>
    <sheetView workbookViewId="0" showGridLines="0" defaultGridColor="1"/>
  </sheetViews>
  <sheetFormatPr defaultColWidth="8.16667" defaultRowHeight="12" customHeight="1" outlineLevelRow="0" outlineLevelCol="0"/>
  <cols>
    <col min="1" max="1" width="10.5" style="47" customWidth="1"/>
    <col min="2" max="2" width="12.1719" style="47" customWidth="1"/>
    <col min="3" max="3" width="7.35156" style="47" customWidth="1"/>
    <col min="4" max="4" width="11.6719" style="47" customWidth="1"/>
    <col min="5" max="5" width="6.85156" style="47" customWidth="1"/>
    <col min="6" max="6" width="8.5" style="47" customWidth="1"/>
    <col min="7" max="7" width="7" style="47" customWidth="1"/>
    <col min="8" max="8" width="11.5" style="47" customWidth="1"/>
    <col min="9" max="16384" width="8.17188" style="47" customWidth="1"/>
  </cols>
  <sheetData>
    <row r="1" ht="58" customHeight="1">
      <c r="A1" t="s" s="48">
        <v>16</v>
      </c>
      <c r="B1" t="s" s="48">
        <v>20</v>
      </c>
      <c r="C1" t="s" s="48">
        <v>127</v>
      </c>
      <c r="D1" t="s" s="48">
        <v>128</v>
      </c>
      <c r="E1" t="s" s="48">
        <v>109</v>
      </c>
      <c r="F1" t="s" s="48">
        <v>129</v>
      </c>
      <c r="G1" t="s" s="33">
        <v>130</v>
      </c>
      <c r="H1" t="s" s="33">
        <v>119</v>
      </c>
    </row>
    <row r="2" ht="13.65" customHeight="1">
      <c r="A2" s="49">
        <v>1001</v>
      </c>
      <c r="B2" s="50">
        <v>40059</v>
      </c>
      <c r="C2" s="51">
        <v>8</v>
      </c>
      <c r="D2" s="51">
        <v>1264</v>
      </c>
      <c r="E2" s="51">
        <v>751</v>
      </c>
      <c r="F2" s="49">
        <v>1</v>
      </c>
      <c r="G2" s="37">
        <v>0</v>
      </c>
      <c r="H2" s="34">
        <v>2</v>
      </c>
    </row>
    <row r="3" ht="13.65" customHeight="1">
      <c r="A3" s="49">
        <v>1002</v>
      </c>
      <c r="B3" s="50">
        <v>40059</v>
      </c>
      <c r="C3" s="51">
        <v>8</v>
      </c>
      <c r="D3" s="51">
        <v>1155</v>
      </c>
      <c r="E3" s="51">
        <v>1043</v>
      </c>
      <c r="F3" s="49">
        <v>1</v>
      </c>
      <c r="G3" s="37">
        <v>0</v>
      </c>
      <c r="H3" s="34">
        <v>3</v>
      </c>
    </row>
    <row r="4" ht="13.65" customHeight="1">
      <c r="A4" s="49">
        <v>1003</v>
      </c>
      <c r="B4" s="50">
        <v>40059</v>
      </c>
      <c r="C4" s="51">
        <v>7</v>
      </c>
      <c r="D4" s="51">
        <v>2387</v>
      </c>
      <c r="E4" s="51">
        <v>2387</v>
      </c>
      <c r="F4" s="49">
        <v>0</v>
      </c>
      <c r="G4" s="37">
        <v>0</v>
      </c>
      <c r="H4" s="34">
        <v>3</v>
      </c>
    </row>
    <row r="5" ht="13.65" customHeight="1">
      <c r="A5" s="49">
        <v>1004</v>
      </c>
      <c r="B5" s="50">
        <v>40059</v>
      </c>
      <c r="C5" s="51">
        <v>7</v>
      </c>
      <c r="D5" s="51">
        <v>2436</v>
      </c>
      <c r="E5" s="51">
        <v>2436</v>
      </c>
      <c r="F5" s="49">
        <v>0</v>
      </c>
      <c r="G5" s="37">
        <v>0</v>
      </c>
      <c r="H5" s="7"/>
    </row>
    <row r="6" ht="13.65" customHeight="1">
      <c r="A6" s="49">
        <v>1005</v>
      </c>
      <c r="B6" s="50">
        <v>40059</v>
      </c>
      <c r="C6" s="51">
        <v>7</v>
      </c>
      <c r="D6" s="51">
        <v>2220</v>
      </c>
      <c r="E6" s="51">
        <v>2520</v>
      </c>
      <c r="F6" s="49">
        <v>0</v>
      </c>
      <c r="G6" s="37">
        <v>0</v>
      </c>
      <c r="H6" s="7"/>
    </row>
    <row r="7" ht="13.65" customHeight="1">
      <c r="A7" s="49">
        <v>1007</v>
      </c>
      <c r="B7" s="50">
        <v>40059</v>
      </c>
      <c r="C7" s="51">
        <v>7</v>
      </c>
      <c r="D7" s="51">
        <v>2468</v>
      </c>
      <c r="E7" s="51">
        <v>2449</v>
      </c>
      <c r="F7" s="49">
        <v>1</v>
      </c>
      <c r="G7" s="37">
        <v>0</v>
      </c>
      <c r="H7" s="34">
        <v>2</v>
      </c>
    </row>
    <row r="8" ht="13.65" customHeight="1">
      <c r="A8" s="49">
        <v>1008</v>
      </c>
      <c r="B8" s="50">
        <v>40059</v>
      </c>
      <c r="C8" s="51">
        <v>7</v>
      </c>
      <c r="D8" s="51">
        <v>2341</v>
      </c>
      <c r="E8" s="51">
        <v>2341</v>
      </c>
      <c r="F8" s="49">
        <v>0</v>
      </c>
      <c r="G8" s="37">
        <v>0</v>
      </c>
      <c r="H8" s="34">
        <v>1</v>
      </c>
    </row>
    <row r="9" ht="13.65" customHeight="1">
      <c r="A9" s="49">
        <v>1009</v>
      </c>
      <c r="B9" s="50">
        <v>40059</v>
      </c>
      <c r="C9" s="51">
        <v>7</v>
      </c>
      <c r="D9" s="51">
        <v>2355</v>
      </c>
      <c r="E9" s="51">
        <v>2355</v>
      </c>
      <c r="F9" s="49">
        <v>0</v>
      </c>
      <c r="G9" s="37">
        <v>0</v>
      </c>
      <c r="H9" s="34">
        <v>2</v>
      </c>
    </row>
    <row r="10" ht="13.65" customHeight="1">
      <c r="A10" s="49">
        <v>1010</v>
      </c>
      <c r="B10" s="50">
        <v>40059</v>
      </c>
      <c r="C10" s="51">
        <v>7</v>
      </c>
      <c r="D10" s="51">
        <v>2151</v>
      </c>
      <c r="E10" s="51">
        <v>2151</v>
      </c>
      <c r="F10" s="49">
        <v>0</v>
      </c>
      <c r="G10" s="37">
        <v>1</v>
      </c>
      <c r="H10" s="34">
        <v>0</v>
      </c>
    </row>
    <row r="11" ht="13.65" customHeight="1">
      <c r="A11" s="49">
        <v>1011</v>
      </c>
      <c r="B11" s="50">
        <v>40059</v>
      </c>
      <c r="C11" s="51">
        <v>7</v>
      </c>
      <c r="D11" s="51">
        <v>2340</v>
      </c>
      <c r="E11" s="51">
        <v>2340</v>
      </c>
      <c r="F11" s="49">
        <v>0</v>
      </c>
      <c r="G11" s="37">
        <v>1</v>
      </c>
      <c r="H11" s="34">
        <v>0</v>
      </c>
    </row>
    <row r="12" ht="13.65" customHeight="1">
      <c r="A12" s="49">
        <v>1012</v>
      </c>
      <c r="B12" s="50">
        <v>40059</v>
      </c>
      <c r="C12" s="51">
        <v>7</v>
      </c>
      <c r="D12" s="51">
        <v>2425</v>
      </c>
      <c r="E12" s="51">
        <v>2425</v>
      </c>
      <c r="F12" s="49">
        <v>1</v>
      </c>
      <c r="G12" s="37">
        <v>0</v>
      </c>
      <c r="H12" s="34">
        <v>2</v>
      </c>
    </row>
    <row r="13" ht="13.65" customHeight="1">
      <c r="A13" s="49">
        <v>1013</v>
      </c>
      <c r="B13" s="50">
        <v>40059</v>
      </c>
      <c r="C13" s="51">
        <v>7</v>
      </c>
      <c r="D13" s="51">
        <v>2383</v>
      </c>
      <c r="E13" s="51">
        <v>2383</v>
      </c>
      <c r="F13" s="49">
        <v>0</v>
      </c>
      <c r="G13" s="37">
        <v>0</v>
      </c>
      <c r="H13" s="34">
        <v>3</v>
      </c>
    </row>
    <row r="14" ht="13.65" customHeight="1">
      <c r="A14" s="49">
        <v>1015</v>
      </c>
      <c r="B14" s="50">
        <v>40059</v>
      </c>
      <c r="C14" s="51">
        <v>7</v>
      </c>
      <c r="D14" s="51">
        <v>2039</v>
      </c>
      <c r="E14" s="51">
        <v>2039</v>
      </c>
      <c r="F14" s="49">
        <v>0</v>
      </c>
      <c r="G14" s="37">
        <v>1</v>
      </c>
      <c r="H14" s="34">
        <v>0</v>
      </c>
    </row>
    <row r="15" ht="13.65" customHeight="1">
      <c r="A15" s="49">
        <v>1016</v>
      </c>
      <c r="B15" s="50">
        <v>40059</v>
      </c>
      <c r="C15" s="51">
        <v>7</v>
      </c>
      <c r="D15" s="51">
        <v>2359</v>
      </c>
      <c r="E15" s="51">
        <v>759</v>
      </c>
      <c r="F15" s="49">
        <v>1</v>
      </c>
      <c r="G15" s="37">
        <v>0</v>
      </c>
      <c r="H15" s="34">
        <v>2</v>
      </c>
    </row>
    <row r="16" ht="13.65" customHeight="1">
      <c r="A16" s="49">
        <v>1017</v>
      </c>
      <c r="B16" s="50">
        <v>40059</v>
      </c>
      <c r="C16" s="51">
        <v>8</v>
      </c>
      <c r="D16" s="51">
        <v>916</v>
      </c>
      <c r="E16" s="51">
        <v>916</v>
      </c>
      <c r="F16" s="49">
        <v>1</v>
      </c>
      <c r="G16" s="37">
        <v>0</v>
      </c>
      <c r="H16" s="34">
        <v>3</v>
      </c>
    </row>
    <row r="17" ht="13.65" customHeight="1">
      <c r="A17" s="49">
        <v>1018</v>
      </c>
      <c r="B17" s="50">
        <v>40059</v>
      </c>
      <c r="C17" s="51">
        <v>7</v>
      </c>
      <c r="D17" s="51">
        <v>2266</v>
      </c>
      <c r="E17" s="51">
        <v>2266</v>
      </c>
      <c r="F17" s="49">
        <v>0</v>
      </c>
      <c r="G17" s="37">
        <v>0</v>
      </c>
      <c r="H17" s="7"/>
    </row>
    <row r="18" ht="13.65" customHeight="1">
      <c r="A18" s="49">
        <v>1019</v>
      </c>
      <c r="B18" s="50">
        <v>40059</v>
      </c>
      <c r="C18" s="51">
        <v>7</v>
      </c>
      <c r="D18" s="51">
        <v>2200</v>
      </c>
      <c r="E18" s="51">
        <v>2370</v>
      </c>
      <c r="F18" s="49">
        <v>0</v>
      </c>
      <c r="G18" s="37">
        <v>0</v>
      </c>
      <c r="H18" s="34">
        <v>2</v>
      </c>
    </row>
    <row r="19" ht="13.65" customHeight="1">
      <c r="A19" s="49">
        <v>1021</v>
      </c>
      <c r="B19" s="50">
        <v>40059</v>
      </c>
      <c r="C19" s="51">
        <v>7</v>
      </c>
      <c r="D19" s="51">
        <v>2059</v>
      </c>
      <c r="E19" s="51">
        <v>639</v>
      </c>
      <c r="F19" s="49">
        <v>1</v>
      </c>
      <c r="G19" s="37">
        <v>1</v>
      </c>
      <c r="H19" s="34">
        <v>0</v>
      </c>
    </row>
    <row r="20" ht="13.65" customHeight="1">
      <c r="A20" s="49">
        <v>1022</v>
      </c>
      <c r="B20" s="50">
        <v>40059</v>
      </c>
      <c r="C20" s="51">
        <v>7</v>
      </c>
      <c r="D20" s="51">
        <v>1924</v>
      </c>
      <c r="E20" s="51">
        <v>1924</v>
      </c>
      <c r="F20" s="49">
        <v>0</v>
      </c>
      <c r="G20" s="37">
        <v>0</v>
      </c>
      <c r="H20" s="34">
        <v>2</v>
      </c>
    </row>
    <row r="21" ht="13.65" customHeight="1">
      <c r="A21" s="49">
        <v>1024</v>
      </c>
      <c r="B21" s="50">
        <v>40059</v>
      </c>
      <c r="C21" s="51">
        <v>7</v>
      </c>
      <c r="D21" s="51">
        <v>2321</v>
      </c>
      <c r="E21" s="51">
        <v>1242</v>
      </c>
      <c r="F21" s="49">
        <v>1</v>
      </c>
      <c r="G21" s="37">
        <v>0</v>
      </c>
      <c r="H21" s="34">
        <v>2</v>
      </c>
    </row>
    <row r="22" ht="13.65" customHeight="1">
      <c r="A22" s="49">
        <v>1025</v>
      </c>
      <c r="B22" s="50">
        <v>40059</v>
      </c>
      <c r="C22" s="51">
        <v>8</v>
      </c>
      <c r="D22" s="51">
        <v>718</v>
      </c>
      <c r="E22" s="51">
        <v>718</v>
      </c>
      <c r="F22" s="49">
        <v>1</v>
      </c>
      <c r="G22" s="37"/>
      <c r="H22" s="7"/>
    </row>
    <row r="23" ht="13.65" customHeight="1">
      <c r="A23" s="49">
        <v>1026</v>
      </c>
      <c r="B23" s="50">
        <v>40059</v>
      </c>
      <c r="C23" s="51">
        <v>7</v>
      </c>
      <c r="D23" s="51">
        <v>2158</v>
      </c>
      <c r="E23" s="51">
        <v>2213</v>
      </c>
      <c r="F23" s="49">
        <v>0</v>
      </c>
      <c r="G23" s="37">
        <v>1</v>
      </c>
      <c r="H23" s="34">
        <v>0</v>
      </c>
    </row>
    <row r="24" ht="13.65" customHeight="1">
      <c r="A24" s="49">
        <v>1027</v>
      </c>
      <c r="B24" s="50">
        <v>40059</v>
      </c>
      <c r="C24" s="51">
        <v>7</v>
      </c>
      <c r="D24" s="51">
        <v>1996</v>
      </c>
      <c r="E24" s="51">
        <v>1058</v>
      </c>
      <c r="F24" s="49">
        <v>1</v>
      </c>
      <c r="G24" s="37">
        <v>0</v>
      </c>
      <c r="H24" s="34">
        <v>2</v>
      </c>
    </row>
    <row r="25" ht="13.65" customHeight="1">
      <c r="A25" s="49">
        <v>1028</v>
      </c>
      <c r="B25" s="50">
        <v>40059</v>
      </c>
      <c r="C25" s="51">
        <v>8</v>
      </c>
      <c r="D25" s="51">
        <v>284</v>
      </c>
      <c r="E25" s="51">
        <v>273</v>
      </c>
      <c r="F25" s="49">
        <v>1</v>
      </c>
      <c r="G25" s="37">
        <v>0</v>
      </c>
      <c r="H25" s="7"/>
    </row>
    <row r="26" ht="13.65" customHeight="1">
      <c r="A26" s="49">
        <v>1029</v>
      </c>
      <c r="B26" s="50">
        <v>40059</v>
      </c>
      <c r="C26" s="51">
        <v>7</v>
      </c>
      <c r="D26" s="51">
        <v>2023</v>
      </c>
      <c r="E26" s="51">
        <v>2413</v>
      </c>
      <c r="F26" s="49">
        <v>0</v>
      </c>
      <c r="G26" s="37">
        <v>0</v>
      </c>
      <c r="H26" s="34">
        <v>2</v>
      </c>
    </row>
    <row r="27" ht="13.65" customHeight="1">
      <c r="A27" s="49">
        <v>1030</v>
      </c>
      <c r="B27" s="50">
        <v>40059</v>
      </c>
      <c r="C27" s="51">
        <v>7</v>
      </c>
      <c r="D27" s="51">
        <v>2209</v>
      </c>
      <c r="E27" s="51">
        <v>2209</v>
      </c>
      <c r="F27" s="49">
        <v>0</v>
      </c>
      <c r="G27" s="37">
        <v>1</v>
      </c>
      <c r="H27" s="34">
        <v>0</v>
      </c>
    </row>
    <row r="28" ht="13.65" customHeight="1">
      <c r="A28" s="49">
        <v>1031</v>
      </c>
      <c r="B28" s="50">
        <v>40059</v>
      </c>
      <c r="C28" s="51">
        <v>7</v>
      </c>
      <c r="D28" s="51">
        <v>2117</v>
      </c>
      <c r="E28" s="51">
        <v>1555</v>
      </c>
      <c r="F28" s="49">
        <v>1</v>
      </c>
      <c r="G28" s="37">
        <v>0</v>
      </c>
      <c r="H28" s="7"/>
    </row>
    <row r="29" ht="13.65" customHeight="1">
      <c r="A29" s="49">
        <v>1032</v>
      </c>
      <c r="B29" s="50">
        <v>40059</v>
      </c>
      <c r="C29" s="51">
        <v>9</v>
      </c>
      <c r="D29" s="51">
        <v>1384</v>
      </c>
      <c r="E29" s="51">
        <v>1384</v>
      </c>
      <c r="F29" s="49">
        <v>0</v>
      </c>
      <c r="G29" s="37">
        <v>0</v>
      </c>
      <c r="H29" s="34">
        <v>2</v>
      </c>
    </row>
    <row r="30" ht="13.65" customHeight="1">
      <c r="A30" s="49">
        <v>1033</v>
      </c>
      <c r="B30" s="50">
        <v>40059</v>
      </c>
      <c r="C30" s="51">
        <v>7</v>
      </c>
      <c r="D30" s="51">
        <v>1942</v>
      </c>
      <c r="E30" s="51">
        <v>1942</v>
      </c>
      <c r="F30" s="49">
        <v>0</v>
      </c>
      <c r="G30" s="37">
        <v>0</v>
      </c>
      <c r="H30" s="34">
        <v>2</v>
      </c>
    </row>
    <row r="31" ht="13.65" customHeight="1">
      <c r="A31" s="49">
        <v>1034</v>
      </c>
      <c r="B31" s="50">
        <v>40059</v>
      </c>
      <c r="C31" s="51">
        <v>8</v>
      </c>
      <c r="D31" s="51">
        <v>555</v>
      </c>
      <c r="E31" s="51">
        <v>410</v>
      </c>
      <c r="F31" s="49">
        <v>1</v>
      </c>
      <c r="G31" s="37">
        <v>0</v>
      </c>
      <c r="H31" s="34">
        <v>3</v>
      </c>
    </row>
    <row r="32" ht="13.65" customHeight="1">
      <c r="A32" s="49">
        <v>1035</v>
      </c>
      <c r="B32" s="50">
        <v>40059</v>
      </c>
      <c r="C32" s="51">
        <v>7</v>
      </c>
      <c r="D32" s="51">
        <v>2240</v>
      </c>
      <c r="E32" s="51">
        <v>729</v>
      </c>
      <c r="F32" s="49">
        <v>1</v>
      </c>
      <c r="G32" s="37"/>
      <c r="H32" s="7"/>
    </row>
    <row r="33" ht="13.65" customHeight="1">
      <c r="A33" s="49">
        <v>1036</v>
      </c>
      <c r="B33" s="50">
        <v>40059</v>
      </c>
      <c r="C33" s="51">
        <v>8</v>
      </c>
      <c r="D33" s="51">
        <v>1049</v>
      </c>
      <c r="E33" s="51">
        <v>391</v>
      </c>
      <c r="F33" s="49">
        <v>1</v>
      </c>
      <c r="G33" s="37">
        <v>0</v>
      </c>
      <c r="H33" s="34">
        <v>1</v>
      </c>
    </row>
    <row r="34" ht="13.65" customHeight="1">
      <c r="A34" s="49">
        <v>1037</v>
      </c>
      <c r="B34" s="50">
        <v>40059</v>
      </c>
      <c r="C34" s="51">
        <v>7</v>
      </c>
      <c r="D34" s="51">
        <v>1806</v>
      </c>
      <c r="E34" s="51">
        <v>1806</v>
      </c>
      <c r="F34" s="49">
        <v>0</v>
      </c>
      <c r="G34" s="37">
        <v>0</v>
      </c>
      <c r="H34" s="34">
        <v>2</v>
      </c>
    </row>
    <row r="35" ht="13.65" customHeight="1">
      <c r="A35" s="49">
        <v>1038</v>
      </c>
      <c r="B35" s="50">
        <v>40059</v>
      </c>
      <c r="C35" s="51">
        <v>7</v>
      </c>
      <c r="D35" s="51">
        <v>1843</v>
      </c>
      <c r="E35" s="51">
        <v>1843</v>
      </c>
      <c r="F35" s="49">
        <v>0</v>
      </c>
      <c r="G35" s="37">
        <v>0</v>
      </c>
      <c r="H35" s="34">
        <v>1</v>
      </c>
    </row>
    <row r="36" ht="13.65" customHeight="1">
      <c r="A36" s="49">
        <v>1039</v>
      </c>
      <c r="B36" s="50">
        <v>40059</v>
      </c>
      <c r="C36" s="51">
        <v>7</v>
      </c>
      <c r="D36" s="51">
        <v>2030</v>
      </c>
      <c r="E36" s="51">
        <v>2030</v>
      </c>
      <c r="F36" s="49">
        <v>0</v>
      </c>
      <c r="G36" s="37">
        <v>1</v>
      </c>
      <c r="H36" s="34">
        <v>0</v>
      </c>
    </row>
    <row r="37" ht="13.65" customHeight="1">
      <c r="A37" s="49">
        <v>1040</v>
      </c>
      <c r="B37" s="50">
        <v>40059</v>
      </c>
      <c r="C37" s="51">
        <v>8</v>
      </c>
      <c r="D37" s="51">
        <v>455</v>
      </c>
      <c r="E37" s="51">
        <v>413</v>
      </c>
      <c r="F37" s="49">
        <v>1</v>
      </c>
      <c r="G37" s="37">
        <v>0</v>
      </c>
      <c r="H37" s="34">
        <v>3</v>
      </c>
    </row>
    <row r="38" ht="13.65" customHeight="1">
      <c r="A38" s="49">
        <v>1041</v>
      </c>
      <c r="B38" s="50">
        <v>40059</v>
      </c>
      <c r="C38" s="51">
        <v>8</v>
      </c>
      <c r="D38" s="51">
        <v>1679</v>
      </c>
      <c r="E38" s="51">
        <v>1679</v>
      </c>
      <c r="F38" s="49">
        <v>1</v>
      </c>
      <c r="G38" s="37">
        <v>0</v>
      </c>
      <c r="H38" s="34">
        <v>3</v>
      </c>
    </row>
    <row r="39" ht="13.65" customHeight="1">
      <c r="A39" s="49">
        <v>1042</v>
      </c>
      <c r="B39" s="50">
        <v>40059</v>
      </c>
      <c r="C39" s="51">
        <v>7</v>
      </c>
      <c r="D39" s="51">
        <v>1928</v>
      </c>
      <c r="E39" s="51">
        <v>2033</v>
      </c>
      <c r="F39" s="49">
        <v>0</v>
      </c>
      <c r="G39" s="37">
        <v>0</v>
      </c>
      <c r="H39" s="34">
        <v>2</v>
      </c>
    </row>
    <row r="40" ht="13.65" customHeight="1">
      <c r="A40" s="49">
        <v>1043</v>
      </c>
      <c r="B40" s="50">
        <v>40059</v>
      </c>
      <c r="C40" s="51">
        <v>8</v>
      </c>
      <c r="D40" s="51">
        <v>745</v>
      </c>
      <c r="E40" s="51">
        <v>224</v>
      </c>
      <c r="F40" s="49">
        <v>1</v>
      </c>
      <c r="G40" s="37">
        <v>0</v>
      </c>
      <c r="H40" s="34">
        <v>2</v>
      </c>
    </row>
    <row r="41" ht="13.65" customHeight="1">
      <c r="A41" s="49">
        <v>1044</v>
      </c>
      <c r="B41" s="50">
        <v>40059</v>
      </c>
      <c r="C41" s="51">
        <v>8</v>
      </c>
      <c r="D41" s="51">
        <v>441</v>
      </c>
      <c r="E41" s="51">
        <v>225</v>
      </c>
      <c r="F41" s="49">
        <v>1</v>
      </c>
      <c r="G41" s="37">
        <v>0</v>
      </c>
      <c r="H41" s="34">
        <v>3</v>
      </c>
    </row>
    <row r="42" ht="13.65" customHeight="1">
      <c r="A42" s="49">
        <v>1045</v>
      </c>
      <c r="B42" s="50">
        <v>40059</v>
      </c>
      <c r="C42" s="51">
        <v>8</v>
      </c>
      <c r="D42" s="51">
        <v>536</v>
      </c>
      <c r="E42" s="51">
        <v>475</v>
      </c>
      <c r="F42" s="49">
        <v>1</v>
      </c>
      <c r="G42" s="37">
        <v>1</v>
      </c>
      <c r="H42" s="34">
        <v>0</v>
      </c>
    </row>
    <row r="43" ht="13.65" customHeight="1">
      <c r="A43" s="49">
        <v>1046</v>
      </c>
      <c r="B43" s="50">
        <v>40059</v>
      </c>
      <c r="C43" s="51">
        <v>7</v>
      </c>
      <c r="D43" s="51">
        <v>1992</v>
      </c>
      <c r="E43" s="51">
        <v>1992</v>
      </c>
      <c r="F43" s="49">
        <v>0</v>
      </c>
      <c r="G43" s="37">
        <v>0</v>
      </c>
      <c r="H43" s="34">
        <v>2</v>
      </c>
    </row>
    <row r="44" ht="13.65" customHeight="1">
      <c r="A44" s="49">
        <v>1047</v>
      </c>
      <c r="B44" s="50">
        <v>40059</v>
      </c>
      <c r="C44" s="51">
        <v>7</v>
      </c>
      <c r="D44" s="51">
        <v>1799</v>
      </c>
      <c r="E44" s="51">
        <v>2240</v>
      </c>
      <c r="F44" s="49">
        <v>0</v>
      </c>
      <c r="G44" s="37">
        <v>0</v>
      </c>
      <c r="H44" s="34">
        <v>2</v>
      </c>
    </row>
    <row r="45" ht="13.65" customHeight="1">
      <c r="A45" s="49">
        <v>1048</v>
      </c>
      <c r="B45" s="50">
        <v>40059</v>
      </c>
      <c r="C45" s="51">
        <v>7</v>
      </c>
      <c r="D45" s="51">
        <v>1907</v>
      </c>
      <c r="E45" s="51">
        <v>1907</v>
      </c>
      <c r="F45" s="49">
        <v>0</v>
      </c>
      <c r="G45" s="37">
        <v>0</v>
      </c>
      <c r="H45" s="34">
        <v>3</v>
      </c>
    </row>
    <row r="46" ht="13.65" customHeight="1">
      <c r="A46" s="49">
        <v>1049</v>
      </c>
      <c r="B46" s="50">
        <v>40059</v>
      </c>
      <c r="C46" s="51">
        <v>8</v>
      </c>
      <c r="D46" s="51">
        <v>344</v>
      </c>
      <c r="E46" s="51">
        <v>179</v>
      </c>
      <c r="F46" s="49">
        <v>1</v>
      </c>
      <c r="G46" s="37">
        <v>0</v>
      </c>
      <c r="H46" s="34">
        <v>3</v>
      </c>
    </row>
    <row r="47" ht="13.65" customHeight="1">
      <c r="A47" s="49">
        <v>1050</v>
      </c>
      <c r="B47" s="50">
        <v>40059</v>
      </c>
      <c r="C47" s="51">
        <v>8</v>
      </c>
      <c r="D47" s="51">
        <v>663</v>
      </c>
      <c r="E47" s="51">
        <v>663</v>
      </c>
      <c r="F47" s="49">
        <v>1</v>
      </c>
      <c r="G47" s="37">
        <v>0</v>
      </c>
      <c r="H47" s="34">
        <v>2</v>
      </c>
    </row>
    <row r="48" ht="13.65" customHeight="1">
      <c r="A48" s="49">
        <v>1051</v>
      </c>
      <c r="B48" s="50">
        <v>40059</v>
      </c>
      <c r="C48" s="51">
        <v>9</v>
      </c>
      <c r="D48" s="51">
        <v>912</v>
      </c>
      <c r="E48" s="51">
        <v>912</v>
      </c>
      <c r="F48" s="49">
        <v>0</v>
      </c>
      <c r="G48" s="37">
        <v>1</v>
      </c>
      <c r="H48" s="34">
        <v>0</v>
      </c>
    </row>
    <row r="49" ht="13.65" customHeight="1">
      <c r="A49" s="49">
        <v>1053</v>
      </c>
      <c r="B49" s="50">
        <v>40059</v>
      </c>
      <c r="C49" s="51">
        <v>7</v>
      </c>
      <c r="D49" s="51">
        <v>1978</v>
      </c>
      <c r="E49" s="51">
        <v>1978</v>
      </c>
      <c r="F49" s="49">
        <v>0</v>
      </c>
      <c r="G49" s="37">
        <v>0</v>
      </c>
      <c r="H49" s="34">
        <v>1</v>
      </c>
    </row>
    <row r="50" ht="13.65" customHeight="1">
      <c r="A50" s="49">
        <v>1054</v>
      </c>
      <c r="B50" s="50">
        <v>40059</v>
      </c>
      <c r="C50" s="51">
        <v>8</v>
      </c>
      <c r="D50" s="51">
        <v>615</v>
      </c>
      <c r="E50" s="51">
        <v>303</v>
      </c>
      <c r="F50" s="49">
        <v>1</v>
      </c>
      <c r="G50" s="37">
        <v>0</v>
      </c>
      <c r="H50" s="34">
        <v>3</v>
      </c>
    </row>
    <row r="51" ht="13.65" customHeight="1">
      <c r="A51" s="49">
        <v>1055</v>
      </c>
      <c r="B51" s="50">
        <v>40059</v>
      </c>
      <c r="C51" s="51">
        <v>7</v>
      </c>
      <c r="D51" s="51">
        <v>1738</v>
      </c>
      <c r="E51" s="51">
        <v>1738</v>
      </c>
      <c r="F51" s="49">
        <v>0</v>
      </c>
      <c r="G51" s="37">
        <v>0</v>
      </c>
      <c r="H51" s="34">
        <v>3</v>
      </c>
    </row>
    <row r="52" ht="13.65" customHeight="1">
      <c r="A52" s="49">
        <v>1056</v>
      </c>
      <c r="B52" s="50">
        <v>40059</v>
      </c>
      <c r="C52" s="51">
        <v>8</v>
      </c>
      <c r="D52" s="51">
        <v>210</v>
      </c>
      <c r="E52" s="51">
        <v>197</v>
      </c>
      <c r="F52" s="49">
        <v>1</v>
      </c>
      <c r="G52" s="37">
        <v>0</v>
      </c>
      <c r="H52" s="34">
        <v>2</v>
      </c>
    </row>
    <row r="53" ht="13.65" customHeight="1">
      <c r="A53" s="49">
        <v>1057</v>
      </c>
      <c r="B53" s="50">
        <v>40059</v>
      </c>
      <c r="C53" s="51">
        <v>8</v>
      </c>
      <c r="D53" s="51">
        <v>314</v>
      </c>
      <c r="E53" s="51">
        <v>179</v>
      </c>
      <c r="F53" s="49">
        <v>1</v>
      </c>
      <c r="G53" s="37">
        <v>0</v>
      </c>
      <c r="H53" s="34">
        <v>2</v>
      </c>
    </row>
    <row r="54" ht="13.65" customHeight="1">
      <c r="A54" s="49">
        <v>1058</v>
      </c>
      <c r="B54" s="50">
        <v>40059</v>
      </c>
      <c r="C54" s="51">
        <v>7</v>
      </c>
      <c r="D54" s="51">
        <v>1655</v>
      </c>
      <c r="E54" s="51">
        <v>1655</v>
      </c>
      <c r="F54" s="49">
        <v>0</v>
      </c>
      <c r="G54" s="37">
        <v>1</v>
      </c>
      <c r="H54" s="34">
        <v>0</v>
      </c>
    </row>
    <row r="55" ht="13.65" customHeight="1">
      <c r="A55" s="49">
        <v>1059</v>
      </c>
      <c r="B55" s="50">
        <v>40059</v>
      </c>
      <c r="C55" s="51">
        <v>7</v>
      </c>
      <c r="D55" s="51">
        <v>1775</v>
      </c>
      <c r="E55" s="51">
        <v>1775</v>
      </c>
      <c r="F55" s="49">
        <v>0</v>
      </c>
      <c r="G55" s="37">
        <v>0</v>
      </c>
      <c r="H55" s="34">
        <v>2</v>
      </c>
    </row>
    <row r="56" ht="13.65" customHeight="1">
      <c r="A56" s="49">
        <v>1060</v>
      </c>
      <c r="B56" s="50">
        <v>40059</v>
      </c>
      <c r="C56" s="51">
        <v>7</v>
      </c>
      <c r="D56" s="51">
        <v>1622</v>
      </c>
      <c r="E56" s="51">
        <v>1622</v>
      </c>
      <c r="F56" s="49">
        <v>0</v>
      </c>
      <c r="G56" s="37">
        <v>0</v>
      </c>
      <c r="H56" s="34">
        <v>1</v>
      </c>
    </row>
    <row r="57" ht="13.65" customHeight="1">
      <c r="A57" s="49">
        <v>1061</v>
      </c>
      <c r="B57" s="50">
        <v>40059</v>
      </c>
      <c r="C57" s="51">
        <v>8</v>
      </c>
      <c r="D57" s="51">
        <v>658</v>
      </c>
      <c r="E57" s="51">
        <v>524</v>
      </c>
      <c r="F57" s="49">
        <v>1</v>
      </c>
      <c r="G57" s="37">
        <v>0</v>
      </c>
      <c r="H57" s="34">
        <v>2</v>
      </c>
    </row>
    <row r="58" ht="13.65" customHeight="1">
      <c r="A58" s="49">
        <v>1062</v>
      </c>
      <c r="B58" s="50">
        <v>40059</v>
      </c>
      <c r="C58" s="51">
        <v>8</v>
      </c>
      <c r="D58" s="51">
        <v>869</v>
      </c>
      <c r="E58" s="51">
        <v>216</v>
      </c>
      <c r="F58" s="49">
        <v>1</v>
      </c>
      <c r="G58" s="37">
        <v>0</v>
      </c>
      <c r="H58" s="34">
        <v>2</v>
      </c>
    </row>
    <row r="59" ht="13.65" customHeight="1">
      <c r="A59" s="49">
        <v>1063</v>
      </c>
      <c r="B59" s="50">
        <v>40059</v>
      </c>
      <c r="C59" s="51">
        <v>7</v>
      </c>
      <c r="D59" s="51">
        <v>1862</v>
      </c>
      <c r="E59" s="51">
        <v>1862</v>
      </c>
      <c r="F59" s="49">
        <v>0</v>
      </c>
      <c r="G59" s="37">
        <v>0</v>
      </c>
      <c r="H59" s="34">
        <v>1</v>
      </c>
    </row>
    <row r="60" ht="13.65" customHeight="1">
      <c r="A60" s="49">
        <v>1064</v>
      </c>
      <c r="B60" s="50">
        <v>40059</v>
      </c>
      <c r="C60" s="51">
        <v>7</v>
      </c>
      <c r="D60" s="51">
        <v>2063</v>
      </c>
      <c r="E60" s="51">
        <v>369</v>
      </c>
      <c r="F60" s="49">
        <v>1</v>
      </c>
      <c r="G60" s="37"/>
      <c r="H60" s="7"/>
    </row>
    <row r="61" ht="13.65" customHeight="1">
      <c r="A61" s="49">
        <v>1065</v>
      </c>
      <c r="B61" s="50">
        <v>40059</v>
      </c>
      <c r="C61" s="51">
        <v>7</v>
      </c>
      <c r="D61" s="51">
        <v>1273</v>
      </c>
      <c r="E61" s="51">
        <v>1273</v>
      </c>
      <c r="F61" s="49">
        <v>0</v>
      </c>
      <c r="G61" s="37">
        <v>0</v>
      </c>
      <c r="H61" s="34">
        <v>3</v>
      </c>
    </row>
    <row r="62" ht="13.65" customHeight="1">
      <c r="A62" s="49">
        <v>1066</v>
      </c>
      <c r="B62" s="50">
        <v>40059</v>
      </c>
      <c r="C62" s="51">
        <v>7</v>
      </c>
      <c r="D62" s="51">
        <v>1670</v>
      </c>
      <c r="E62" s="51">
        <v>1670</v>
      </c>
      <c r="F62" s="49">
        <v>0</v>
      </c>
      <c r="G62" s="37">
        <v>0</v>
      </c>
      <c r="H62" s="34">
        <v>2</v>
      </c>
    </row>
    <row r="63" ht="13.65" customHeight="1">
      <c r="A63" s="49">
        <v>1067</v>
      </c>
      <c r="B63" s="50">
        <v>40059</v>
      </c>
      <c r="C63" s="51">
        <v>8</v>
      </c>
      <c r="D63" s="51">
        <v>1044</v>
      </c>
      <c r="E63" s="51">
        <v>469</v>
      </c>
      <c r="F63" s="49">
        <v>1</v>
      </c>
      <c r="G63" s="37"/>
      <c r="H63" s="7"/>
    </row>
    <row r="64" ht="13.65" customHeight="1">
      <c r="A64" s="49">
        <v>1068</v>
      </c>
      <c r="B64" s="50">
        <v>40059</v>
      </c>
      <c r="C64" s="51">
        <v>7</v>
      </c>
      <c r="D64" s="51">
        <v>1876</v>
      </c>
      <c r="E64" s="51">
        <v>1876</v>
      </c>
      <c r="F64" s="49">
        <v>0</v>
      </c>
      <c r="G64" s="37">
        <v>0</v>
      </c>
      <c r="H64" s="34">
        <v>2</v>
      </c>
    </row>
    <row r="65" ht="13.65" customHeight="1">
      <c r="A65" s="49">
        <v>1069</v>
      </c>
      <c r="B65" s="50">
        <v>40059</v>
      </c>
      <c r="C65" s="51">
        <v>7</v>
      </c>
      <c r="D65" s="51">
        <v>1947</v>
      </c>
      <c r="E65" s="51">
        <v>1947</v>
      </c>
      <c r="F65" s="49">
        <v>0</v>
      </c>
      <c r="G65" s="37">
        <v>0</v>
      </c>
      <c r="H65" s="34">
        <v>2</v>
      </c>
    </row>
    <row r="66" ht="13.65" customHeight="1">
      <c r="A66" s="49">
        <v>1070</v>
      </c>
      <c r="B66" s="50">
        <v>40059</v>
      </c>
      <c r="C66" s="51">
        <v>7</v>
      </c>
      <c r="D66" s="51">
        <v>1596</v>
      </c>
      <c r="E66" s="51">
        <v>1596</v>
      </c>
      <c r="F66" s="49">
        <v>0</v>
      </c>
      <c r="G66" s="37">
        <v>1</v>
      </c>
      <c r="H66" s="34">
        <v>0</v>
      </c>
    </row>
    <row r="67" ht="13.65" customHeight="1">
      <c r="A67" s="49">
        <v>1071</v>
      </c>
      <c r="B67" s="50">
        <v>40059</v>
      </c>
      <c r="C67" s="51">
        <v>7</v>
      </c>
      <c r="D67" s="51">
        <v>1720</v>
      </c>
      <c r="E67" s="51">
        <v>1720</v>
      </c>
      <c r="F67" s="49">
        <v>0</v>
      </c>
      <c r="G67" s="37">
        <v>0</v>
      </c>
      <c r="H67" s="34">
        <v>2</v>
      </c>
    </row>
    <row r="68" ht="13.65" customHeight="1">
      <c r="A68" s="49">
        <v>1072</v>
      </c>
      <c r="B68" s="50">
        <v>40059</v>
      </c>
      <c r="C68" s="51">
        <v>7</v>
      </c>
      <c r="D68" s="51">
        <v>1841</v>
      </c>
      <c r="E68" s="51">
        <v>1841</v>
      </c>
      <c r="F68" s="49">
        <v>0</v>
      </c>
      <c r="G68" s="37">
        <v>0</v>
      </c>
      <c r="H68" s="34">
        <v>2</v>
      </c>
    </row>
    <row r="69" ht="13.65" customHeight="1">
      <c r="A69" s="49">
        <v>1073</v>
      </c>
      <c r="B69" s="50">
        <v>40059</v>
      </c>
      <c r="C69" s="51">
        <v>7</v>
      </c>
      <c r="D69" s="51">
        <v>1725</v>
      </c>
      <c r="E69" s="51">
        <v>1725</v>
      </c>
      <c r="F69" s="49">
        <v>0</v>
      </c>
      <c r="G69" s="37">
        <v>1</v>
      </c>
      <c r="H69" s="34">
        <v>0</v>
      </c>
    </row>
    <row r="70" ht="13.65" customHeight="1">
      <c r="A70" s="49">
        <v>1074</v>
      </c>
      <c r="B70" s="50">
        <v>40059</v>
      </c>
      <c r="C70" s="51">
        <v>7</v>
      </c>
      <c r="D70" s="51">
        <v>1981</v>
      </c>
      <c r="E70" s="51">
        <v>1981</v>
      </c>
      <c r="F70" s="49">
        <v>0</v>
      </c>
      <c r="G70" s="37">
        <v>0</v>
      </c>
      <c r="H70" s="34">
        <v>2</v>
      </c>
    </row>
    <row r="71" ht="13.65" customHeight="1">
      <c r="A71" s="49">
        <v>1075</v>
      </c>
      <c r="B71" s="50">
        <v>40059</v>
      </c>
      <c r="C71" s="51">
        <v>7</v>
      </c>
      <c r="D71" s="51">
        <v>1891</v>
      </c>
      <c r="E71" s="51">
        <v>1891</v>
      </c>
      <c r="F71" s="49">
        <v>0</v>
      </c>
      <c r="G71" s="37">
        <v>1</v>
      </c>
      <c r="H71" s="34">
        <v>0</v>
      </c>
    </row>
    <row r="72" ht="13.65" customHeight="1">
      <c r="A72" s="49">
        <v>1077</v>
      </c>
      <c r="B72" s="50">
        <v>40059</v>
      </c>
      <c r="C72" s="51">
        <v>7</v>
      </c>
      <c r="D72" s="51">
        <v>1926</v>
      </c>
      <c r="E72" s="51">
        <v>1926</v>
      </c>
      <c r="F72" s="49">
        <v>0</v>
      </c>
      <c r="G72" s="37">
        <v>1</v>
      </c>
      <c r="H72" s="34">
        <v>0</v>
      </c>
    </row>
    <row r="73" ht="13.65" customHeight="1">
      <c r="A73" s="49">
        <v>1078</v>
      </c>
      <c r="B73" s="50">
        <v>40059</v>
      </c>
      <c r="C73" s="51">
        <v>7</v>
      </c>
      <c r="D73" s="51">
        <v>1939</v>
      </c>
      <c r="E73" s="51">
        <v>1939</v>
      </c>
      <c r="F73" s="49">
        <v>0</v>
      </c>
      <c r="G73" s="37">
        <v>1</v>
      </c>
      <c r="H73" s="34">
        <v>0</v>
      </c>
    </row>
    <row r="74" ht="13.65" customHeight="1">
      <c r="A74" s="49">
        <v>1081</v>
      </c>
      <c r="B74" s="50">
        <v>40059</v>
      </c>
      <c r="C74" s="51">
        <v>7</v>
      </c>
      <c r="D74" s="51">
        <v>1982</v>
      </c>
      <c r="E74" s="51">
        <v>1982</v>
      </c>
      <c r="F74" s="49">
        <v>0</v>
      </c>
      <c r="G74" s="37">
        <v>0</v>
      </c>
      <c r="H74" s="34">
        <v>3</v>
      </c>
    </row>
    <row r="75" ht="13.65" customHeight="1">
      <c r="A75" s="49">
        <v>1082</v>
      </c>
      <c r="B75" s="50">
        <v>40059</v>
      </c>
      <c r="C75" s="51">
        <v>7</v>
      </c>
      <c r="D75" s="51">
        <v>1812</v>
      </c>
      <c r="E75" s="51">
        <v>1812</v>
      </c>
      <c r="F75" s="49">
        <v>0</v>
      </c>
      <c r="G75" s="37">
        <v>0</v>
      </c>
      <c r="H75" s="34">
        <v>2</v>
      </c>
    </row>
    <row r="76" ht="13.65" customHeight="1">
      <c r="A76" s="49">
        <v>1083</v>
      </c>
      <c r="B76" s="50">
        <v>40059</v>
      </c>
      <c r="C76" s="51">
        <v>7</v>
      </c>
      <c r="D76" s="51">
        <v>1560</v>
      </c>
      <c r="E76" s="51">
        <v>1560</v>
      </c>
      <c r="F76" s="49">
        <v>0</v>
      </c>
      <c r="G76" s="37">
        <v>0</v>
      </c>
      <c r="H76" s="34">
        <v>2</v>
      </c>
    </row>
    <row r="77" ht="13.65" customHeight="1">
      <c r="A77" s="49">
        <v>1084</v>
      </c>
      <c r="B77" s="50">
        <v>40059</v>
      </c>
      <c r="C77" s="51">
        <v>7</v>
      </c>
      <c r="D77" s="51">
        <v>1766</v>
      </c>
      <c r="E77" s="51">
        <v>1766</v>
      </c>
      <c r="F77" s="49">
        <v>0</v>
      </c>
      <c r="G77" s="37">
        <v>0</v>
      </c>
      <c r="H77" s="34">
        <v>2</v>
      </c>
    </row>
    <row r="78" ht="13.65" customHeight="1">
      <c r="A78" s="49">
        <v>1085</v>
      </c>
      <c r="B78" s="50">
        <v>40059</v>
      </c>
      <c r="C78" s="51">
        <v>7</v>
      </c>
      <c r="D78" s="51">
        <v>1895</v>
      </c>
      <c r="E78" s="51">
        <v>1895</v>
      </c>
      <c r="F78" s="49">
        <v>0</v>
      </c>
      <c r="G78" s="37">
        <v>0</v>
      </c>
      <c r="H78" s="34">
        <v>1</v>
      </c>
    </row>
    <row r="79" ht="13.65" customHeight="1">
      <c r="A79" s="49">
        <v>1086</v>
      </c>
      <c r="B79" s="50">
        <v>40059</v>
      </c>
      <c r="C79" s="51">
        <v>7</v>
      </c>
      <c r="D79" s="51">
        <v>1643</v>
      </c>
      <c r="E79" s="51">
        <v>1643</v>
      </c>
      <c r="F79" s="49">
        <v>0</v>
      </c>
      <c r="G79" s="37">
        <v>0</v>
      </c>
      <c r="H79" s="34">
        <v>2</v>
      </c>
    </row>
    <row r="80" ht="13.65" customHeight="1">
      <c r="A80" s="49">
        <v>1087</v>
      </c>
      <c r="B80" s="50">
        <v>40059</v>
      </c>
      <c r="C80" s="51">
        <v>7</v>
      </c>
      <c r="D80" s="51">
        <v>1513</v>
      </c>
      <c r="E80" s="51">
        <v>1513</v>
      </c>
      <c r="F80" s="49">
        <v>0</v>
      </c>
      <c r="G80" s="37">
        <v>1</v>
      </c>
      <c r="H80" s="34">
        <v>0</v>
      </c>
    </row>
    <row r="81" ht="13.65" customHeight="1">
      <c r="A81" s="49">
        <v>1088</v>
      </c>
      <c r="B81" s="50">
        <v>40059</v>
      </c>
      <c r="C81" s="51">
        <v>7</v>
      </c>
      <c r="D81" s="51">
        <v>1967</v>
      </c>
      <c r="E81" s="51">
        <v>1967</v>
      </c>
      <c r="F81" s="49">
        <v>0</v>
      </c>
      <c r="G81" s="37">
        <v>1</v>
      </c>
      <c r="H81" s="34">
        <v>0</v>
      </c>
    </row>
    <row r="82" ht="13.65" customHeight="1">
      <c r="A82" s="49">
        <v>1089</v>
      </c>
      <c r="B82" s="50">
        <v>40059</v>
      </c>
      <c r="C82" s="51">
        <v>7</v>
      </c>
      <c r="D82" s="51">
        <v>1485</v>
      </c>
      <c r="E82" s="51">
        <v>1485</v>
      </c>
      <c r="F82" s="49">
        <v>0</v>
      </c>
      <c r="G82" s="37">
        <v>0</v>
      </c>
      <c r="H82" s="34">
        <v>2</v>
      </c>
    </row>
    <row r="83" ht="13.65" customHeight="1">
      <c r="A83" s="49">
        <v>1090</v>
      </c>
      <c r="B83" s="50">
        <v>40059</v>
      </c>
      <c r="C83" s="51">
        <v>7</v>
      </c>
      <c r="D83" s="51">
        <v>1646</v>
      </c>
      <c r="E83" s="51">
        <v>843</v>
      </c>
      <c r="F83" s="49">
        <v>1</v>
      </c>
      <c r="G83" s="37">
        <v>1</v>
      </c>
      <c r="H83" s="34">
        <v>0</v>
      </c>
    </row>
    <row r="84" ht="13.65" customHeight="1">
      <c r="A84" s="49">
        <v>1091</v>
      </c>
      <c r="B84" s="50">
        <v>40059</v>
      </c>
      <c r="C84" s="51">
        <v>8</v>
      </c>
      <c r="D84" s="51">
        <v>1384</v>
      </c>
      <c r="E84" s="51">
        <v>1154</v>
      </c>
      <c r="F84" s="49">
        <v>1</v>
      </c>
      <c r="G84" s="37">
        <v>0</v>
      </c>
      <c r="H84" s="34">
        <v>2</v>
      </c>
    </row>
    <row r="85" ht="13.65" customHeight="1">
      <c r="A85" s="49">
        <v>1092</v>
      </c>
      <c r="B85" s="50">
        <v>40059</v>
      </c>
      <c r="C85" s="51">
        <v>7</v>
      </c>
      <c r="D85" s="51">
        <v>1784</v>
      </c>
      <c r="E85" s="51">
        <v>1959</v>
      </c>
      <c r="F85" s="49">
        <v>0</v>
      </c>
      <c r="G85" s="37">
        <v>0</v>
      </c>
      <c r="H85" s="34">
        <v>1</v>
      </c>
    </row>
    <row r="86" ht="13.65" customHeight="1">
      <c r="A86" s="49">
        <v>1093</v>
      </c>
      <c r="B86" s="50">
        <v>40059</v>
      </c>
      <c r="C86" s="51">
        <v>7</v>
      </c>
      <c r="D86" s="51">
        <v>1928</v>
      </c>
      <c r="E86" s="51">
        <v>1928</v>
      </c>
      <c r="F86" s="49">
        <v>0</v>
      </c>
      <c r="G86" s="37">
        <v>0</v>
      </c>
      <c r="H86" s="34">
        <v>1</v>
      </c>
    </row>
    <row r="87" ht="13.65" customHeight="1">
      <c r="A87" s="49">
        <v>1094</v>
      </c>
      <c r="B87" s="50">
        <v>40059</v>
      </c>
      <c r="C87" s="51">
        <v>7</v>
      </c>
      <c r="D87" s="51">
        <v>1793</v>
      </c>
      <c r="E87" s="51">
        <v>1793</v>
      </c>
      <c r="F87" s="49">
        <v>0</v>
      </c>
      <c r="G87" s="37">
        <v>0</v>
      </c>
      <c r="H87" s="34">
        <v>3</v>
      </c>
    </row>
    <row r="88" ht="13.65" customHeight="1">
      <c r="A88" s="49">
        <v>1095</v>
      </c>
      <c r="B88" s="50">
        <v>40059</v>
      </c>
      <c r="C88" s="51">
        <v>7</v>
      </c>
      <c r="D88" s="51">
        <v>1802</v>
      </c>
      <c r="E88" s="51">
        <v>1802</v>
      </c>
      <c r="F88" s="49">
        <v>0</v>
      </c>
      <c r="G88" s="37">
        <v>0</v>
      </c>
      <c r="H88" s="34">
        <v>3</v>
      </c>
    </row>
    <row r="89" ht="13.65" customHeight="1">
      <c r="A89" s="49">
        <v>1096</v>
      </c>
      <c r="B89" s="50">
        <v>40059</v>
      </c>
      <c r="C89" s="51">
        <v>8</v>
      </c>
      <c r="D89" s="51">
        <v>1125</v>
      </c>
      <c r="E89" s="51">
        <v>873</v>
      </c>
      <c r="F89" s="49">
        <v>1</v>
      </c>
      <c r="G89" s="37">
        <v>0</v>
      </c>
      <c r="H89" s="34">
        <v>2</v>
      </c>
    </row>
    <row r="90" ht="13.65" customHeight="1">
      <c r="A90" s="49">
        <v>1097</v>
      </c>
      <c r="B90" s="50">
        <v>40059</v>
      </c>
      <c r="C90" s="51">
        <v>7</v>
      </c>
      <c r="D90" s="51">
        <v>1785</v>
      </c>
      <c r="E90" s="51">
        <v>1974</v>
      </c>
      <c r="F90" s="49">
        <v>0</v>
      </c>
      <c r="G90" s="37">
        <v>0</v>
      </c>
      <c r="H90" s="34">
        <v>2</v>
      </c>
    </row>
    <row r="91" ht="13.65" customHeight="1">
      <c r="A91" s="49">
        <v>1098</v>
      </c>
      <c r="B91" s="50">
        <v>40059</v>
      </c>
      <c r="C91" s="51">
        <v>8</v>
      </c>
      <c r="D91" s="51">
        <v>1395</v>
      </c>
      <c r="E91" s="51">
        <v>1095</v>
      </c>
      <c r="F91" s="49">
        <v>1</v>
      </c>
      <c r="G91" s="37">
        <v>1</v>
      </c>
      <c r="H91" s="34">
        <v>0</v>
      </c>
    </row>
    <row r="92" ht="13.65" customHeight="1">
      <c r="A92" s="49">
        <v>1099</v>
      </c>
      <c r="B92" s="50">
        <v>40059</v>
      </c>
      <c r="C92" s="51">
        <v>7</v>
      </c>
      <c r="D92" s="51">
        <v>1769</v>
      </c>
      <c r="E92" s="51">
        <v>1967</v>
      </c>
      <c r="F92" s="49">
        <v>0</v>
      </c>
      <c r="G92" s="37">
        <v>1</v>
      </c>
      <c r="H92" s="34">
        <v>0</v>
      </c>
    </row>
    <row r="93" ht="13.65" customHeight="1">
      <c r="A93" s="49">
        <v>1100</v>
      </c>
      <c r="B93" s="50">
        <v>40059</v>
      </c>
      <c r="C93" s="51">
        <v>7</v>
      </c>
      <c r="D93" s="51">
        <v>1906</v>
      </c>
      <c r="E93" s="51">
        <v>1906</v>
      </c>
      <c r="F93" s="49">
        <v>0</v>
      </c>
      <c r="G93" s="37">
        <v>0</v>
      </c>
      <c r="H93" s="34">
        <v>2</v>
      </c>
    </row>
    <row r="94" ht="13.65" customHeight="1">
      <c r="A94" s="49">
        <v>1101</v>
      </c>
      <c r="B94" s="50">
        <v>40059</v>
      </c>
      <c r="C94" s="51">
        <v>8</v>
      </c>
      <c r="D94" s="51">
        <v>944</v>
      </c>
      <c r="E94" s="51">
        <v>483</v>
      </c>
      <c r="F94" s="49">
        <v>1</v>
      </c>
      <c r="G94" s="37">
        <v>0</v>
      </c>
      <c r="H94" s="34">
        <v>3</v>
      </c>
    </row>
    <row r="95" ht="13.65" customHeight="1">
      <c r="A95" s="49">
        <v>1102</v>
      </c>
      <c r="B95" s="50">
        <v>40059</v>
      </c>
      <c r="C95" s="51">
        <v>8</v>
      </c>
      <c r="D95" s="51">
        <v>317</v>
      </c>
      <c r="E95" s="51">
        <v>298</v>
      </c>
      <c r="F95" s="49">
        <v>1</v>
      </c>
      <c r="G95" s="37">
        <v>0</v>
      </c>
      <c r="H95" s="34">
        <v>3</v>
      </c>
    </row>
    <row r="96" ht="13.65" customHeight="1">
      <c r="A96" s="49">
        <v>1103</v>
      </c>
      <c r="B96" s="50">
        <v>40059</v>
      </c>
      <c r="C96" s="51">
        <v>7</v>
      </c>
      <c r="D96" s="51">
        <v>1886</v>
      </c>
      <c r="E96" s="51">
        <v>1886</v>
      </c>
      <c r="F96" s="49">
        <v>0</v>
      </c>
      <c r="G96" s="37">
        <v>1</v>
      </c>
      <c r="H96" s="34">
        <v>0</v>
      </c>
    </row>
    <row r="97" ht="13.65" customHeight="1">
      <c r="A97" s="49">
        <v>1104</v>
      </c>
      <c r="B97" s="50">
        <v>40059</v>
      </c>
      <c r="C97" s="51">
        <v>7</v>
      </c>
      <c r="D97" s="51">
        <v>1472</v>
      </c>
      <c r="E97" s="51">
        <v>1472</v>
      </c>
      <c r="F97" s="49">
        <v>0</v>
      </c>
      <c r="G97" s="37">
        <v>1</v>
      </c>
      <c r="H97" s="34">
        <v>0</v>
      </c>
    </row>
    <row r="98" ht="13.65" customHeight="1">
      <c r="A98" s="49">
        <v>1106</v>
      </c>
      <c r="B98" s="50">
        <v>40059</v>
      </c>
      <c r="C98" s="51">
        <v>8</v>
      </c>
      <c r="D98" s="51">
        <v>1176</v>
      </c>
      <c r="E98" s="51">
        <v>677</v>
      </c>
      <c r="F98" s="49">
        <v>1</v>
      </c>
      <c r="G98" s="37">
        <v>0</v>
      </c>
      <c r="H98" s="34">
        <v>2</v>
      </c>
    </row>
    <row r="99" ht="13.65" customHeight="1">
      <c r="A99" s="49">
        <v>1107</v>
      </c>
      <c r="B99" s="50">
        <v>40059</v>
      </c>
      <c r="C99" s="51">
        <v>7</v>
      </c>
      <c r="D99" s="51">
        <v>1420</v>
      </c>
      <c r="E99" s="51">
        <v>1420</v>
      </c>
      <c r="F99" s="49">
        <v>0</v>
      </c>
      <c r="G99" s="37">
        <v>0</v>
      </c>
      <c r="H99" s="34">
        <v>2</v>
      </c>
    </row>
    <row r="100" ht="13.65" customHeight="1">
      <c r="A100" s="49">
        <v>1109</v>
      </c>
      <c r="B100" s="50">
        <v>40059</v>
      </c>
      <c r="C100" s="51">
        <v>7</v>
      </c>
      <c r="D100" s="51">
        <v>1349</v>
      </c>
      <c r="E100" s="51">
        <v>1349</v>
      </c>
      <c r="F100" s="49">
        <v>0</v>
      </c>
      <c r="G100" s="37">
        <v>0</v>
      </c>
      <c r="H100" s="34">
        <v>2</v>
      </c>
    </row>
    <row r="101" ht="13.65" customHeight="1">
      <c r="A101" s="49">
        <v>1110</v>
      </c>
      <c r="B101" s="50">
        <v>40059</v>
      </c>
      <c r="C101" s="51">
        <v>7</v>
      </c>
      <c r="D101" s="51">
        <v>1652</v>
      </c>
      <c r="E101" s="51">
        <v>1652</v>
      </c>
      <c r="F101" s="49">
        <v>0</v>
      </c>
      <c r="G101" s="37">
        <v>0</v>
      </c>
      <c r="H101" s="34">
        <v>2</v>
      </c>
    </row>
    <row r="102" ht="13.65" customHeight="1">
      <c r="A102" s="49">
        <v>1111</v>
      </c>
      <c r="B102" s="50">
        <v>40059</v>
      </c>
      <c r="C102" s="51">
        <v>7</v>
      </c>
      <c r="D102" s="51">
        <v>1808</v>
      </c>
      <c r="E102" s="51">
        <v>1808</v>
      </c>
      <c r="F102" s="49">
        <v>0</v>
      </c>
      <c r="G102" s="37">
        <v>0</v>
      </c>
      <c r="H102" s="34">
        <v>3</v>
      </c>
    </row>
    <row r="103" ht="13.65" customHeight="1">
      <c r="A103" s="49">
        <v>1112</v>
      </c>
      <c r="B103" s="50">
        <v>40059</v>
      </c>
      <c r="C103" s="51">
        <v>7</v>
      </c>
      <c r="D103" s="51">
        <v>1510</v>
      </c>
      <c r="E103" s="51">
        <v>1510</v>
      </c>
      <c r="F103" s="49">
        <v>0</v>
      </c>
      <c r="G103" s="37">
        <v>1</v>
      </c>
      <c r="H103" s="34">
        <v>0</v>
      </c>
    </row>
    <row r="104" ht="13.65" customHeight="1">
      <c r="A104" s="49">
        <v>1113</v>
      </c>
      <c r="B104" s="50">
        <v>40059</v>
      </c>
      <c r="C104" s="51">
        <v>7</v>
      </c>
      <c r="D104" s="51">
        <v>1432</v>
      </c>
      <c r="E104" s="51">
        <v>1432</v>
      </c>
      <c r="F104" s="49">
        <v>0</v>
      </c>
      <c r="G104" s="37">
        <v>0</v>
      </c>
      <c r="H104" s="34">
        <v>1</v>
      </c>
    </row>
    <row r="105" ht="13.65" customHeight="1">
      <c r="A105" s="49">
        <v>1114</v>
      </c>
      <c r="B105" s="50">
        <v>40059</v>
      </c>
      <c r="C105" s="51">
        <v>7</v>
      </c>
      <c r="D105" s="51">
        <v>1466</v>
      </c>
      <c r="E105" s="51">
        <v>1756</v>
      </c>
      <c r="F105" s="49">
        <v>0</v>
      </c>
      <c r="G105" s="37">
        <v>0</v>
      </c>
      <c r="H105" s="34">
        <v>2</v>
      </c>
    </row>
    <row r="106" ht="13.65" customHeight="1">
      <c r="A106" s="49">
        <v>1115</v>
      </c>
      <c r="B106" s="50">
        <v>40059</v>
      </c>
      <c r="C106" s="51">
        <v>7</v>
      </c>
      <c r="D106" s="51">
        <v>1802</v>
      </c>
      <c r="E106" s="51">
        <v>1802</v>
      </c>
      <c r="F106" s="49">
        <v>0</v>
      </c>
      <c r="G106" s="37">
        <v>1</v>
      </c>
      <c r="H106" s="34">
        <v>0</v>
      </c>
    </row>
    <row r="107" ht="13.65" customHeight="1">
      <c r="A107" s="49">
        <v>1116</v>
      </c>
      <c r="B107" s="50">
        <v>40059</v>
      </c>
      <c r="C107" s="51">
        <v>7</v>
      </c>
      <c r="D107" s="51">
        <v>1427</v>
      </c>
      <c r="E107" s="51">
        <v>1427</v>
      </c>
      <c r="F107" s="49">
        <v>0</v>
      </c>
      <c r="G107" s="37">
        <v>0</v>
      </c>
      <c r="H107" s="34">
        <v>2</v>
      </c>
    </row>
    <row r="108" ht="13.65" customHeight="1">
      <c r="A108" s="49">
        <v>1117</v>
      </c>
      <c r="B108" s="50">
        <v>40059</v>
      </c>
      <c r="C108" s="51">
        <v>7</v>
      </c>
      <c r="D108" s="51">
        <v>1834</v>
      </c>
      <c r="E108" s="51">
        <v>1834</v>
      </c>
      <c r="F108" s="49">
        <v>0</v>
      </c>
      <c r="G108" s="37">
        <v>0</v>
      </c>
      <c r="H108" s="34">
        <v>2</v>
      </c>
    </row>
    <row r="109" ht="13.65" customHeight="1">
      <c r="A109" s="49">
        <v>1118</v>
      </c>
      <c r="B109" s="50">
        <v>40059</v>
      </c>
      <c r="C109" s="51">
        <v>7</v>
      </c>
      <c r="D109" s="51">
        <v>1516</v>
      </c>
      <c r="E109" s="51">
        <v>1516</v>
      </c>
      <c r="F109" s="49">
        <v>0</v>
      </c>
      <c r="G109" s="37">
        <v>1</v>
      </c>
      <c r="H109" s="34">
        <v>0</v>
      </c>
    </row>
    <row r="110" ht="13.65" customHeight="1">
      <c r="A110" s="49">
        <v>1120</v>
      </c>
      <c r="B110" s="50">
        <v>40059</v>
      </c>
      <c r="C110" s="51">
        <v>9</v>
      </c>
      <c r="D110" s="51">
        <v>530</v>
      </c>
      <c r="E110" s="51">
        <v>530</v>
      </c>
      <c r="F110" s="49">
        <v>0</v>
      </c>
      <c r="G110" s="37"/>
      <c r="H110" s="7"/>
    </row>
    <row r="111" ht="13.65" customHeight="1">
      <c r="A111" s="49">
        <v>1121</v>
      </c>
      <c r="B111" s="50">
        <v>40059</v>
      </c>
      <c r="C111" s="51">
        <v>7</v>
      </c>
      <c r="D111" s="51">
        <v>1498</v>
      </c>
      <c r="E111" s="51">
        <v>1498</v>
      </c>
      <c r="F111" s="49">
        <v>0</v>
      </c>
      <c r="G111" s="37">
        <v>1</v>
      </c>
      <c r="H111" s="34">
        <v>0</v>
      </c>
    </row>
    <row r="112" ht="13.65" customHeight="1">
      <c r="A112" s="49">
        <v>1122</v>
      </c>
      <c r="B112" s="50">
        <v>40059</v>
      </c>
      <c r="C112" s="51">
        <v>7</v>
      </c>
      <c r="D112" s="51">
        <v>1481</v>
      </c>
      <c r="E112" s="51">
        <v>1481</v>
      </c>
      <c r="F112" s="49">
        <v>0</v>
      </c>
      <c r="G112" s="37">
        <v>0</v>
      </c>
      <c r="H112" s="34">
        <v>2</v>
      </c>
    </row>
    <row r="113" ht="13.65" customHeight="1">
      <c r="A113" s="49">
        <v>1123</v>
      </c>
      <c r="B113" s="50">
        <v>40059</v>
      </c>
      <c r="C113" s="51">
        <v>7</v>
      </c>
      <c r="D113" s="51">
        <v>1415</v>
      </c>
      <c r="E113" s="51">
        <v>1415</v>
      </c>
      <c r="F113" s="49">
        <v>0</v>
      </c>
      <c r="G113" s="37">
        <v>0</v>
      </c>
      <c r="H113" s="34">
        <v>3</v>
      </c>
    </row>
    <row r="114" ht="13.65" customHeight="1">
      <c r="A114" s="49">
        <v>1124</v>
      </c>
      <c r="B114" s="50">
        <v>40059</v>
      </c>
      <c r="C114" s="51">
        <v>7</v>
      </c>
      <c r="D114" s="51">
        <v>1567</v>
      </c>
      <c r="E114" s="51">
        <v>805</v>
      </c>
      <c r="F114" s="49">
        <v>1</v>
      </c>
      <c r="G114" s="37">
        <v>0</v>
      </c>
      <c r="H114" s="34">
        <v>2</v>
      </c>
    </row>
    <row r="115" ht="13.65" customHeight="1">
      <c r="A115" s="49">
        <v>1125</v>
      </c>
      <c r="B115" s="50">
        <v>40059</v>
      </c>
      <c r="C115" s="51">
        <v>7</v>
      </c>
      <c r="D115" s="51">
        <v>1615</v>
      </c>
      <c r="E115" s="51">
        <v>1615</v>
      </c>
      <c r="F115" s="49">
        <v>0</v>
      </c>
      <c r="G115" s="37">
        <v>1</v>
      </c>
      <c r="H115" s="34">
        <v>0</v>
      </c>
    </row>
    <row r="116" ht="13.65" customHeight="1">
      <c r="A116" s="49">
        <v>1126</v>
      </c>
      <c r="B116" s="50">
        <v>40059</v>
      </c>
      <c r="C116" s="51">
        <v>7</v>
      </c>
      <c r="D116" s="51">
        <v>1720</v>
      </c>
      <c r="E116" s="51">
        <v>1720</v>
      </c>
      <c r="F116" s="49">
        <v>0</v>
      </c>
      <c r="G116" s="37">
        <v>1</v>
      </c>
      <c r="H116" s="34">
        <v>0</v>
      </c>
    </row>
    <row r="117" ht="13.65" customHeight="1">
      <c r="A117" s="49">
        <v>1127</v>
      </c>
      <c r="B117" s="50">
        <v>40059</v>
      </c>
      <c r="C117" s="51">
        <v>9</v>
      </c>
      <c r="D117" s="51">
        <v>571</v>
      </c>
      <c r="E117" s="51">
        <v>571</v>
      </c>
      <c r="F117" s="49">
        <v>0</v>
      </c>
      <c r="G117" s="37">
        <v>0</v>
      </c>
      <c r="H117" s="34">
        <v>3</v>
      </c>
    </row>
    <row r="118" ht="13.65" customHeight="1">
      <c r="A118" s="49">
        <v>1128</v>
      </c>
      <c r="B118" s="50">
        <v>40059</v>
      </c>
      <c r="C118" s="51">
        <v>7</v>
      </c>
      <c r="D118" s="51">
        <v>1684</v>
      </c>
      <c r="E118" s="51">
        <v>1887</v>
      </c>
      <c r="F118" s="49">
        <v>0</v>
      </c>
      <c r="G118" s="37">
        <v>0</v>
      </c>
      <c r="H118" s="34">
        <v>1</v>
      </c>
    </row>
    <row r="119" ht="13.65" customHeight="1">
      <c r="A119" s="49">
        <v>1129</v>
      </c>
      <c r="B119" s="50">
        <v>40059</v>
      </c>
      <c r="C119" s="51">
        <v>8</v>
      </c>
      <c r="D119" s="51">
        <v>612</v>
      </c>
      <c r="E119" s="51">
        <v>499</v>
      </c>
      <c r="F119" s="49">
        <v>1</v>
      </c>
      <c r="G119" s="37">
        <v>1</v>
      </c>
      <c r="H119" s="34">
        <v>0</v>
      </c>
    </row>
    <row r="120" ht="13.65" customHeight="1">
      <c r="A120" s="49">
        <v>1130</v>
      </c>
      <c r="B120" s="50">
        <v>40059</v>
      </c>
      <c r="C120" s="51">
        <v>7</v>
      </c>
      <c r="D120" s="51">
        <v>1375</v>
      </c>
      <c r="E120" s="51">
        <v>1375</v>
      </c>
      <c r="F120" s="49">
        <v>0</v>
      </c>
      <c r="G120" s="37">
        <v>1</v>
      </c>
      <c r="H120" s="34">
        <v>0</v>
      </c>
    </row>
    <row r="121" ht="13.65" customHeight="1">
      <c r="A121" s="49">
        <v>1132</v>
      </c>
      <c r="B121" s="50">
        <v>40059</v>
      </c>
      <c r="C121" s="51">
        <v>7</v>
      </c>
      <c r="D121" s="51">
        <v>1719</v>
      </c>
      <c r="E121" s="51">
        <v>1719</v>
      </c>
      <c r="F121" s="49">
        <v>0</v>
      </c>
      <c r="G121" s="37">
        <v>0</v>
      </c>
      <c r="H121" s="34">
        <v>3</v>
      </c>
    </row>
    <row r="122" ht="13.65" customHeight="1">
      <c r="A122" s="49">
        <v>1134</v>
      </c>
      <c r="B122" s="50">
        <v>40059</v>
      </c>
      <c r="C122" s="51">
        <v>7</v>
      </c>
      <c r="D122" s="51">
        <v>1599</v>
      </c>
      <c r="E122" s="51">
        <v>1816</v>
      </c>
      <c r="F122" s="49">
        <v>0</v>
      </c>
      <c r="G122" s="37">
        <v>0</v>
      </c>
      <c r="H122" s="34">
        <v>3</v>
      </c>
    </row>
    <row r="123" ht="13.65" customHeight="1">
      <c r="A123" s="49">
        <v>1135</v>
      </c>
      <c r="B123" s="50">
        <v>40059</v>
      </c>
      <c r="C123" s="51">
        <v>7</v>
      </c>
      <c r="D123" s="51">
        <v>1596</v>
      </c>
      <c r="E123" s="51">
        <v>1596</v>
      </c>
      <c r="F123" s="49">
        <v>0</v>
      </c>
      <c r="G123" s="37">
        <v>0</v>
      </c>
      <c r="H123" s="34">
        <v>3</v>
      </c>
    </row>
    <row r="124" ht="13.65" customHeight="1">
      <c r="A124" s="49">
        <v>1136</v>
      </c>
      <c r="B124" s="50">
        <v>40059</v>
      </c>
      <c r="C124" s="51">
        <v>8</v>
      </c>
      <c r="D124" s="51">
        <v>491</v>
      </c>
      <c r="E124" s="51">
        <v>360</v>
      </c>
      <c r="F124" s="49">
        <v>1</v>
      </c>
      <c r="G124" s="37">
        <v>0</v>
      </c>
      <c r="H124" s="34">
        <v>3</v>
      </c>
    </row>
    <row r="125" ht="13.65" customHeight="1">
      <c r="A125" s="49">
        <v>1137</v>
      </c>
      <c r="B125" s="50">
        <v>40059</v>
      </c>
      <c r="C125" s="51">
        <v>7</v>
      </c>
      <c r="D125" s="51">
        <v>1708</v>
      </c>
      <c r="E125" s="51">
        <v>1393</v>
      </c>
      <c r="F125" s="49">
        <v>1</v>
      </c>
      <c r="G125" s="37">
        <v>0</v>
      </c>
      <c r="H125" s="34">
        <v>1</v>
      </c>
    </row>
    <row r="126" ht="13.65" customHeight="1">
      <c r="A126" s="49">
        <v>1138</v>
      </c>
      <c r="B126" s="50">
        <v>40059</v>
      </c>
      <c r="C126" s="51">
        <v>7</v>
      </c>
      <c r="D126" s="51">
        <v>1329</v>
      </c>
      <c r="E126" s="51">
        <v>1329</v>
      </c>
      <c r="F126" s="49">
        <v>0</v>
      </c>
      <c r="G126" s="37">
        <v>1</v>
      </c>
      <c r="H126" s="34">
        <v>0</v>
      </c>
    </row>
    <row r="127" ht="13.65" customHeight="1">
      <c r="A127" s="49">
        <v>1139</v>
      </c>
      <c r="B127" s="50">
        <v>40059</v>
      </c>
      <c r="C127" s="51">
        <v>7</v>
      </c>
      <c r="D127" s="51">
        <v>1679</v>
      </c>
      <c r="E127" s="51">
        <v>1679</v>
      </c>
      <c r="F127" s="49">
        <v>0</v>
      </c>
      <c r="G127" s="37">
        <v>1</v>
      </c>
      <c r="H127" s="34">
        <v>0</v>
      </c>
    </row>
    <row r="128" ht="13.65" customHeight="1">
      <c r="A128" s="49">
        <v>1140</v>
      </c>
      <c r="B128" s="50">
        <v>40059</v>
      </c>
      <c r="C128" s="51">
        <v>7</v>
      </c>
      <c r="D128" s="51">
        <v>1790</v>
      </c>
      <c r="E128" s="51">
        <v>1204</v>
      </c>
      <c r="F128" s="49">
        <v>1</v>
      </c>
      <c r="G128" s="37">
        <v>0</v>
      </c>
      <c r="H128" s="34">
        <v>2</v>
      </c>
    </row>
    <row r="129" ht="13.65" customHeight="1">
      <c r="A129" s="49">
        <v>1141</v>
      </c>
      <c r="B129" s="50">
        <v>40059</v>
      </c>
      <c r="C129" s="51">
        <v>7</v>
      </c>
      <c r="D129" s="51">
        <v>1662</v>
      </c>
      <c r="E129" s="51">
        <v>1662</v>
      </c>
      <c r="F129" s="49">
        <v>0</v>
      </c>
      <c r="G129" s="37">
        <v>0</v>
      </c>
      <c r="H129" s="34">
        <v>2</v>
      </c>
    </row>
    <row r="130" ht="13.65" customHeight="1">
      <c r="A130" s="49">
        <v>1142</v>
      </c>
      <c r="B130" s="50">
        <v>40059</v>
      </c>
      <c r="C130" s="51">
        <v>8</v>
      </c>
      <c r="D130" s="51">
        <v>1011</v>
      </c>
      <c r="E130" s="51">
        <v>718</v>
      </c>
      <c r="F130" s="49">
        <v>1</v>
      </c>
      <c r="G130" s="37">
        <v>0</v>
      </c>
      <c r="H130" s="34">
        <v>3</v>
      </c>
    </row>
    <row r="131" ht="13.65" customHeight="1">
      <c r="A131" s="49">
        <v>1143</v>
      </c>
      <c r="B131" s="50">
        <v>40059</v>
      </c>
      <c r="C131" s="51">
        <v>7</v>
      </c>
      <c r="D131" s="51">
        <v>1576</v>
      </c>
      <c r="E131" s="51">
        <v>862</v>
      </c>
      <c r="F131" s="49">
        <v>1</v>
      </c>
      <c r="G131" s="37">
        <v>0</v>
      </c>
      <c r="H131" s="7"/>
    </row>
    <row r="132" ht="13.65" customHeight="1">
      <c r="A132" s="49">
        <v>1144</v>
      </c>
      <c r="B132" s="50">
        <v>40059</v>
      </c>
      <c r="C132" s="51">
        <v>7</v>
      </c>
      <c r="D132" s="51">
        <v>1261</v>
      </c>
      <c r="E132" s="51">
        <v>1261</v>
      </c>
      <c r="F132" s="49">
        <v>0</v>
      </c>
      <c r="G132" s="37">
        <v>1</v>
      </c>
      <c r="H132" s="34">
        <v>0</v>
      </c>
    </row>
    <row r="133" ht="13.65" customHeight="1">
      <c r="A133" s="49">
        <v>1145</v>
      </c>
      <c r="B133" s="50">
        <v>40059</v>
      </c>
      <c r="C133" s="51">
        <v>7</v>
      </c>
      <c r="D133" s="51">
        <v>371</v>
      </c>
      <c r="E133" s="51">
        <v>371</v>
      </c>
      <c r="F133" s="49">
        <v>0</v>
      </c>
      <c r="G133" s="37">
        <v>1</v>
      </c>
      <c r="H133" s="34">
        <v>0</v>
      </c>
    </row>
    <row r="134" ht="13.65" customHeight="1">
      <c r="A134" s="49">
        <v>1146</v>
      </c>
      <c r="B134" s="50">
        <v>40059</v>
      </c>
      <c r="C134" s="51">
        <v>7</v>
      </c>
      <c r="D134" s="51">
        <v>283</v>
      </c>
      <c r="E134" s="51">
        <v>283</v>
      </c>
      <c r="F134" s="49">
        <v>0</v>
      </c>
      <c r="G134" s="37">
        <v>0</v>
      </c>
      <c r="H134" s="34">
        <v>3</v>
      </c>
    </row>
    <row r="135" ht="13.65" customHeight="1">
      <c r="A135" s="49">
        <v>1147</v>
      </c>
      <c r="B135" s="50">
        <v>40059</v>
      </c>
      <c r="C135" s="51">
        <v>7</v>
      </c>
      <c r="D135" s="51">
        <v>1568</v>
      </c>
      <c r="E135" s="51">
        <v>903</v>
      </c>
      <c r="F135" s="49">
        <v>1</v>
      </c>
      <c r="G135" s="37">
        <v>0</v>
      </c>
      <c r="H135" s="34">
        <v>2</v>
      </c>
    </row>
    <row r="136" ht="13.65" customHeight="1">
      <c r="A136" s="49">
        <v>1148</v>
      </c>
      <c r="B136" s="50">
        <v>40059</v>
      </c>
      <c r="C136" s="51">
        <v>7</v>
      </c>
      <c r="D136" s="51">
        <v>1646</v>
      </c>
      <c r="E136" s="51">
        <v>1646</v>
      </c>
      <c r="F136" s="49">
        <v>0</v>
      </c>
      <c r="G136" s="37">
        <v>1</v>
      </c>
      <c r="H136" s="34">
        <v>0</v>
      </c>
    </row>
    <row r="137" ht="13.65" customHeight="1">
      <c r="A137" s="49">
        <v>1149</v>
      </c>
      <c r="B137" s="50">
        <v>40059</v>
      </c>
      <c r="C137" s="51">
        <v>8</v>
      </c>
      <c r="D137" s="51">
        <v>1534</v>
      </c>
      <c r="E137" s="51">
        <v>1534</v>
      </c>
      <c r="F137" s="49">
        <v>1</v>
      </c>
      <c r="G137" s="37">
        <v>0</v>
      </c>
      <c r="H137" s="34">
        <v>3</v>
      </c>
    </row>
    <row r="138" ht="13.65" customHeight="1">
      <c r="A138" s="49">
        <v>1150</v>
      </c>
      <c r="B138" s="50">
        <v>40059</v>
      </c>
      <c r="C138" s="51">
        <v>7</v>
      </c>
      <c r="D138" s="51">
        <v>1617</v>
      </c>
      <c r="E138" s="51">
        <v>1617</v>
      </c>
      <c r="F138" s="49">
        <v>0</v>
      </c>
      <c r="G138" s="37">
        <v>0</v>
      </c>
      <c r="H138" s="34">
        <v>2</v>
      </c>
    </row>
    <row r="139" ht="13.65" customHeight="1">
      <c r="A139" s="49">
        <v>1151</v>
      </c>
      <c r="B139" s="50">
        <v>40059</v>
      </c>
      <c r="C139" s="51">
        <v>7</v>
      </c>
      <c r="D139" s="51">
        <v>1544</v>
      </c>
      <c r="E139" s="51">
        <v>1544</v>
      </c>
      <c r="F139" s="49">
        <v>0</v>
      </c>
      <c r="G139" s="37">
        <v>0</v>
      </c>
      <c r="H139" s="34">
        <v>2</v>
      </c>
    </row>
    <row r="140" ht="13.65" customHeight="1">
      <c r="A140" s="49">
        <v>1152</v>
      </c>
      <c r="B140" s="50">
        <v>40059</v>
      </c>
      <c r="C140" s="51">
        <v>7</v>
      </c>
      <c r="D140" s="51">
        <v>1287</v>
      </c>
      <c r="E140" s="51">
        <v>981</v>
      </c>
      <c r="F140" s="49">
        <v>1</v>
      </c>
      <c r="G140" s="37">
        <v>0</v>
      </c>
      <c r="H140" s="34">
        <v>2</v>
      </c>
    </row>
    <row r="141" ht="13.65" customHeight="1">
      <c r="A141" s="49">
        <v>1154</v>
      </c>
      <c r="B141" s="50">
        <v>40059</v>
      </c>
      <c r="C141" s="51">
        <v>7</v>
      </c>
      <c r="D141" s="51">
        <v>1190</v>
      </c>
      <c r="E141" s="51">
        <v>1190</v>
      </c>
      <c r="F141" s="49">
        <v>0</v>
      </c>
      <c r="G141" s="37">
        <v>0</v>
      </c>
      <c r="H141" s="34">
        <v>3</v>
      </c>
    </row>
    <row r="142" ht="13.65" customHeight="1">
      <c r="A142" s="49">
        <v>1155</v>
      </c>
      <c r="B142" s="50">
        <v>40059</v>
      </c>
      <c r="C142" s="51">
        <v>7</v>
      </c>
      <c r="D142" s="51">
        <v>1615</v>
      </c>
      <c r="E142" s="51">
        <v>1615</v>
      </c>
      <c r="F142" s="49">
        <v>0</v>
      </c>
      <c r="G142" s="37">
        <v>1</v>
      </c>
      <c r="H142" s="34">
        <v>0</v>
      </c>
    </row>
    <row r="143" ht="13.65" customHeight="1">
      <c r="A143" s="49">
        <v>1156</v>
      </c>
      <c r="B143" s="50">
        <v>40059</v>
      </c>
      <c r="C143" s="51">
        <v>8</v>
      </c>
      <c r="D143" s="51">
        <v>704</v>
      </c>
      <c r="E143" s="51">
        <v>384</v>
      </c>
      <c r="F143" s="49">
        <v>1</v>
      </c>
      <c r="G143" s="37">
        <v>1</v>
      </c>
      <c r="H143" s="34">
        <v>0</v>
      </c>
    </row>
    <row r="144" ht="13.65" customHeight="1">
      <c r="A144" s="49">
        <v>1157</v>
      </c>
      <c r="B144" s="50">
        <v>40059</v>
      </c>
      <c r="C144" s="51">
        <v>7</v>
      </c>
      <c r="D144" s="51">
        <v>1521</v>
      </c>
      <c r="E144" s="51">
        <v>1521</v>
      </c>
      <c r="F144" s="49">
        <v>0</v>
      </c>
      <c r="G144" s="37">
        <v>0</v>
      </c>
      <c r="H144" s="34">
        <v>1</v>
      </c>
    </row>
    <row r="145" ht="13.65" customHeight="1">
      <c r="A145" s="49">
        <v>1158</v>
      </c>
      <c r="B145" s="50">
        <v>40059</v>
      </c>
      <c r="C145" s="51">
        <v>7</v>
      </c>
      <c r="D145" s="51">
        <v>1581</v>
      </c>
      <c r="E145" s="51">
        <v>1581</v>
      </c>
      <c r="F145" s="49">
        <v>0</v>
      </c>
      <c r="G145" s="37">
        <v>0</v>
      </c>
      <c r="H145" s="34">
        <v>2</v>
      </c>
    </row>
    <row r="146" ht="13.65" customHeight="1">
      <c r="A146" s="49">
        <v>1159</v>
      </c>
      <c r="B146" s="50">
        <v>40059</v>
      </c>
      <c r="C146" s="51">
        <v>8</v>
      </c>
      <c r="D146" s="51">
        <v>574</v>
      </c>
      <c r="E146" s="51">
        <v>428</v>
      </c>
      <c r="F146" s="49">
        <v>1</v>
      </c>
      <c r="G146" s="37">
        <v>0</v>
      </c>
      <c r="H146" s="34">
        <v>3</v>
      </c>
    </row>
    <row r="147" ht="13.65" customHeight="1">
      <c r="A147" s="49">
        <v>1160</v>
      </c>
      <c r="B147" s="50">
        <v>40059</v>
      </c>
      <c r="C147" s="51">
        <v>7</v>
      </c>
      <c r="D147" s="51">
        <v>1595</v>
      </c>
      <c r="E147" s="51">
        <v>1595</v>
      </c>
      <c r="F147" s="49">
        <v>0</v>
      </c>
      <c r="G147" s="37">
        <v>0</v>
      </c>
      <c r="H147" s="7"/>
    </row>
    <row r="148" ht="13.65" customHeight="1">
      <c r="A148" s="49">
        <v>1161</v>
      </c>
      <c r="B148" s="50">
        <v>40059</v>
      </c>
      <c r="C148" s="51">
        <v>7</v>
      </c>
      <c r="D148" s="51">
        <v>1190</v>
      </c>
      <c r="E148" s="51">
        <v>1190</v>
      </c>
      <c r="F148" s="49">
        <v>0</v>
      </c>
      <c r="G148" s="37">
        <v>0</v>
      </c>
      <c r="H148" s="34">
        <v>1</v>
      </c>
    </row>
    <row r="149" ht="13.65" customHeight="1">
      <c r="A149" s="49">
        <v>1162</v>
      </c>
      <c r="B149" s="50">
        <v>40059</v>
      </c>
      <c r="C149" s="51">
        <v>7</v>
      </c>
      <c r="D149" s="51">
        <v>1470</v>
      </c>
      <c r="E149" s="51">
        <v>1470</v>
      </c>
      <c r="F149" s="49">
        <v>0</v>
      </c>
      <c r="G149" s="37">
        <v>0</v>
      </c>
      <c r="H149" s="34">
        <v>1</v>
      </c>
    </row>
    <row r="150" ht="13.65" customHeight="1">
      <c r="A150" s="49">
        <v>1163</v>
      </c>
      <c r="B150" s="50">
        <v>40059</v>
      </c>
      <c r="C150" s="51">
        <v>7</v>
      </c>
      <c r="D150" s="51">
        <v>1280</v>
      </c>
      <c r="E150" s="51">
        <v>1280</v>
      </c>
      <c r="F150" s="49">
        <v>0</v>
      </c>
      <c r="G150" s="37">
        <v>1</v>
      </c>
      <c r="H150" s="34">
        <v>0</v>
      </c>
    </row>
    <row r="151" ht="13.65" customHeight="1">
      <c r="A151" s="49">
        <v>1164</v>
      </c>
      <c r="B151" s="50">
        <v>40059</v>
      </c>
      <c r="C151" s="51">
        <v>7</v>
      </c>
      <c r="D151" s="51">
        <v>1624</v>
      </c>
      <c r="E151" s="51">
        <v>1624</v>
      </c>
      <c r="F151" s="49">
        <v>0</v>
      </c>
      <c r="G151" s="37">
        <v>0</v>
      </c>
      <c r="H151" s="34">
        <v>2</v>
      </c>
    </row>
    <row r="152" ht="13.65" customHeight="1">
      <c r="A152" s="49">
        <v>1165</v>
      </c>
      <c r="B152" s="50">
        <v>40059</v>
      </c>
      <c r="C152" s="51">
        <v>7</v>
      </c>
      <c r="D152" s="51">
        <v>1330</v>
      </c>
      <c r="E152" s="51">
        <v>1330</v>
      </c>
      <c r="F152" s="49">
        <v>0</v>
      </c>
      <c r="G152" s="37">
        <v>0</v>
      </c>
      <c r="H152" s="34">
        <v>2</v>
      </c>
    </row>
    <row r="153" ht="13.65" customHeight="1">
      <c r="A153" s="49">
        <v>1166</v>
      </c>
      <c r="B153" s="50">
        <v>40059</v>
      </c>
      <c r="C153" s="51">
        <v>7</v>
      </c>
      <c r="D153" s="51">
        <v>1224</v>
      </c>
      <c r="E153" s="51">
        <v>1224</v>
      </c>
      <c r="F153" s="49">
        <v>0</v>
      </c>
      <c r="G153" s="37">
        <v>0</v>
      </c>
      <c r="H153" s="34">
        <v>2</v>
      </c>
    </row>
    <row r="154" ht="13.65" customHeight="1">
      <c r="A154" s="49">
        <v>1167</v>
      </c>
      <c r="B154" s="50">
        <v>40059</v>
      </c>
      <c r="C154" s="51">
        <v>7</v>
      </c>
      <c r="D154" s="51">
        <v>1481</v>
      </c>
      <c r="E154" s="51">
        <v>1289</v>
      </c>
      <c r="F154" s="49">
        <v>1</v>
      </c>
      <c r="G154" s="37">
        <v>0</v>
      </c>
      <c r="H154" s="7"/>
    </row>
    <row r="155" ht="13.65" customHeight="1">
      <c r="A155" s="49">
        <v>1168</v>
      </c>
      <c r="B155" s="50">
        <v>40059</v>
      </c>
      <c r="C155" s="51">
        <v>8</v>
      </c>
      <c r="D155" s="51">
        <v>345</v>
      </c>
      <c r="E155" s="51">
        <v>308</v>
      </c>
      <c r="F155" s="49">
        <v>1</v>
      </c>
      <c r="G155" s="37">
        <v>0</v>
      </c>
      <c r="H155" s="34">
        <v>2</v>
      </c>
    </row>
    <row r="156" ht="13.65" customHeight="1">
      <c r="A156" s="49">
        <v>1169</v>
      </c>
      <c r="B156" s="50">
        <v>40059</v>
      </c>
      <c r="C156" s="51">
        <v>8</v>
      </c>
      <c r="D156" s="51">
        <v>756</v>
      </c>
      <c r="E156" s="51">
        <v>315</v>
      </c>
      <c r="F156" s="49">
        <v>1</v>
      </c>
      <c r="G156" s="37">
        <v>0</v>
      </c>
      <c r="H156" s="34">
        <v>3</v>
      </c>
    </row>
    <row r="157" ht="13.65" customHeight="1">
      <c r="A157" s="49">
        <v>1170</v>
      </c>
      <c r="B157" s="50">
        <v>40059</v>
      </c>
      <c r="C157" s="51">
        <v>7</v>
      </c>
      <c r="D157" s="51">
        <v>1190</v>
      </c>
      <c r="E157" s="51">
        <v>1190</v>
      </c>
      <c r="F157" s="49">
        <v>0</v>
      </c>
      <c r="G157" s="37">
        <v>0</v>
      </c>
      <c r="H157" s="34">
        <v>3</v>
      </c>
    </row>
    <row r="158" ht="13.65" customHeight="1">
      <c r="A158" s="49">
        <v>1171</v>
      </c>
      <c r="B158" s="50">
        <v>40059</v>
      </c>
      <c r="C158" s="51">
        <v>7</v>
      </c>
      <c r="D158" s="51">
        <v>1564</v>
      </c>
      <c r="E158" s="51">
        <v>1564</v>
      </c>
      <c r="F158" s="49">
        <v>0</v>
      </c>
      <c r="G158" s="37">
        <v>1</v>
      </c>
      <c r="H158" s="34">
        <v>0</v>
      </c>
    </row>
    <row r="159" ht="13.65" customHeight="1">
      <c r="A159" s="49">
        <v>1172</v>
      </c>
      <c r="B159" s="50">
        <v>40059</v>
      </c>
      <c r="C159" s="51">
        <v>7</v>
      </c>
      <c r="D159" s="51">
        <v>326</v>
      </c>
      <c r="E159" s="51">
        <v>326</v>
      </c>
      <c r="F159" s="49">
        <v>0</v>
      </c>
      <c r="G159" s="37">
        <v>0</v>
      </c>
      <c r="H159" s="34">
        <v>2</v>
      </c>
    </row>
    <row r="160" ht="13.65" customHeight="1">
      <c r="A160" s="49">
        <v>1173</v>
      </c>
      <c r="B160" s="50">
        <v>40059</v>
      </c>
      <c r="C160" s="51">
        <v>7</v>
      </c>
      <c r="D160" s="51">
        <v>1379</v>
      </c>
      <c r="E160" s="51">
        <v>1379</v>
      </c>
      <c r="F160" s="49">
        <v>0</v>
      </c>
      <c r="G160" s="37">
        <v>0</v>
      </c>
      <c r="H160" s="34">
        <v>2</v>
      </c>
    </row>
    <row r="161" ht="13.65" customHeight="1">
      <c r="A161" s="49">
        <v>1174</v>
      </c>
      <c r="B161" s="50">
        <v>40059</v>
      </c>
      <c r="C161" s="51">
        <v>8</v>
      </c>
      <c r="D161" s="51">
        <v>494</v>
      </c>
      <c r="E161" s="51">
        <v>371</v>
      </c>
      <c r="F161" s="49">
        <v>1</v>
      </c>
      <c r="G161" s="37">
        <v>0</v>
      </c>
      <c r="H161" s="34">
        <v>3</v>
      </c>
    </row>
    <row r="162" ht="13.65" customHeight="1">
      <c r="A162" s="49">
        <v>1175</v>
      </c>
      <c r="B162" s="50">
        <v>40059</v>
      </c>
      <c r="C162" s="51">
        <v>7</v>
      </c>
      <c r="D162" s="51">
        <v>1344</v>
      </c>
      <c r="E162" s="51">
        <v>1344</v>
      </c>
      <c r="F162" s="49">
        <v>0</v>
      </c>
      <c r="G162" s="37">
        <v>0</v>
      </c>
      <c r="H162" s="34">
        <v>2</v>
      </c>
    </row>
    <row r="163" ht="13.65" customHeight="1">
      <c r="A163" s="49">
        <v>1176</v>
      </c>
      <c r="B163" s="50">
        <v>40059</v>
      </c>
      <c r="C163" s="51">
        <v>7</v>
      </c>
      <c r="D163" s="51">
        <v>855</v>
      </c>
      <c r="E163" s="51">
        <v>855</v>
      </c>
      <c r="F163" s="49">
        <v>0</v>
      </c>
      <c r="G163" s="37">
        <v>1</v>
      </c>
      <c r="H163" s="34">
        <v>0</v>
      </c>
    </row>
    <row r="164" ht="13.65" customHeight="1">
      <c r="A164" s="49">
        <v>1177</v>
      </c>
      <c r="B164" s="50">
        <v>40059</v>
      </c>
      <c r="C164" s="51">
        <v>7</v>
      </c>
      <c r="D164" s="51">
        <v>1518</v>
      </c>
      <c r="E164" s="51">
        <v>1518</v>
      </c>
      <c r="F164" s="49">
        <v>0</v>
      </c>
      <c r="G164" s="37">
        <v>1</v>
      </c>
      <c r="H164" s="34">
        <v>0</v>
      </c>
    </row>
    <row r="165" ht="13.65" customHeight="1">
      <c r="A165" s="49">
        <v>1179</v>
      </c>
      <c r="B165" s="50">
        <v>40059</v>
      </c>
      <c r="C165" s="51">
        <v>7</v>
      </c>
      <c r="D165" s="51">
        <v>1456</v>
      </c>
      <c r="E165" s="51">
        <v>1456</v>
      </c>
      <c r="F165" s="49">
        <v>0</v>
      </c>
      <c r="G165" s="37">
        <v>0</v>
      </c>
      <c r="H165" s="34">
        <v>2</v>
      </c>
    </row>
    <row r="166" ht="13.65" customHeight="1">
      <c r="A166" s="49">
        <v>1180</v>
      </c>
      <c r="B166" s="50">
        <v>40059</v>
      </c>
      <c r="C166" s="51">
        <v>7</v>
      </c>
      <c r="D166" s="51">
        <v>1293</v>
      </c>
      <c r="E166" s="51">
        <v>1002</v>
      </c>
      <c r="F166" s="49">
        <v>1</v>
      </c>
      <c r="G166" s="37">
        <v>0</v>
      </c>
      <c r="H166" s="34">
        <v>2</v>
      </c>
    </row>
    <row r="167" ht="13.65" customHeight="1">
      <c r="A167" s="49">
        <v>1181</v>
      </c>
      <c r="B167" s="50">
        <v>40059</v>
      </c>
      <c r="C167" s="51">
        <v>7</v>
      </c>
      <c r="D167" s="51">
        <v>1357</v>
      </c>
      <c r="E167" s="51">
        <v>1542</v>
      </c>
      <c r="F167" s="49">
        <v>0</v>
      </c>
      <c r="G167" s="37">
        <v>0</v>
      </c>
      <c r="H167" s="34">
        <v>2</v>
      </c>
    </row>
    <row r="168" ht="13.65" customHeight="1">
      <c r="A168" s="49">
        <v>1182</v>
      </c>
      <c r="B168" s="50">
        <v>40059</v>
      </c>
      <c r="C168" s="51">
        <v>7</v>
      </c>
      <c r="D168" s="51">
        <v>1295</v>
      </c>
      <c r="E168" s="51">
        <v>1295</v>
      </c>
      <c r="F168" s="49">
        <v>0</v>
      </c>
      <c r="G168" s="37">
        <v>1</v>
      </c>
      <c r="H168" s="7"/>
    </row>
    <row r="169" ht="13.65" customHeight="1">
      <c r="A169" s="49">
        <v>1183</v>
      </c>
      <c r="B169" s="50">
        <v>40059</v>
      </c>
      <c r="C169" s="51">
        <v>7</v>
      </c>
      <c r="D169" s="51">
        <v>1456</v>
      </c>
      <c r="E169" s="51">
        <v>1456</v>
      </c>
      <c r="F169" s="49">
        <v>0</v>
      </c>
      <c r="G169" s="37">
        <v>0</v>
      </c>
      <c r="H169" s="34">
        <v>2</v>
      </c>
    </row>
    <row r="170" ht="13.65" customHeight="1">
      <c r="A170" s="49">
        <v>1184</v>
      </c>
      <c r="B170" s="50">
        <v>40059</v>
      </c>
      <c r="C170" s="51">
        <v>7</v>
      </c>
      <c r="D170" s="51">
        <v>929</v>
      </c>
      <c r="E170" s="51">
        <v>929</v>
      </c>
      <c r="F170" s="49">
        <v>0</v>
      </c>
      <c r="G170" s="37">
        <v>1</v>
      </c>
      <c r="H170" s="7"/>
    </row>
    <row r="171" ht="13.65" customHeight="1">
      <c r="A171" s="49">
        <v>1185</v>
      </c>
      <c r="B171" s="50">
        <v>40059</v>
      </c>
      <c r="C171" s="51">
        <v>7</v>
      </c>
      <c r="D171" s="51">
        <v>1322</v>
      </c>
      <c r="E171" s="51">
        <v>1322</v>
      </c>
      <c r="F171" s="49">
        <v>0</v>
      </c>
      <c r="G171" s="37">
        <v>0</v>
      </c>
      <c r="H171" s="34">
        <v>3</v>
      </c>
    </row>
    <row r="172" ht="13.65" customHeight="1">
      <c r="A172" s="49">
        <v>1187</v>
      </c>
      <c r="B172" s="50">
        <v>40059</v>
      </c>
      <c r="C172" s="51">
        <v>7</v>
      </c>
      <c r="D172" s="51">
        <v>1454</v>
      </c>
      <c r="E172" s="51">
        <v>1454</v>
      </c>
      <c r="F172" s="49">
        <v>0</v>
      </c>
      <c r="G172" s="37">
        <v>0</v>
      </c>
      <c r="H172" s="34">
        <v>2</v>
      </c>
    </row>
    <row r="173" ht="13.65" customHeight="1">
      <c r="A173" s="49">
        <v>1188</v>
      </c>
      <c r="B173" s="50">
        <v>40059</v>
      </c>
      <c r="C173" s="51">
        <v>7</v>
      </c>
      <c r="D173" s="51">
        <v>1318</v>
      </c>
      <c r="E173" s="51">
        <v>1318</v>
      </c>
      <c r="F173" s="49">
        <v>0</v>
      </c>
      <c r="G173" s="37">
        <v>0</v>
      </c>
      <c r="H173" s="34">
        <v>2</v>
      </c>
    </row>
    <row r="174" ht="13.65" customHeight="1">
      <c r="A174" s="49">
        <v>1189</v>
      </c>
      <c r="B174" s="50">
        <v>40059</v>
      </c>
      <c r="C174" s="51">
        <v>7</v>
      </c>
      <c r="D174" s="51">
        <v>1314</v>
      </c>
      <c r="E174" s="51">
        <v>1503</v>
      </c>
      <c r="F174" s="49">
        <v>0</v>
      </c>
      <c r="G174" s="37">
        <v>1</v>
      </c>
      <c r="H174" s="34">
        <v>0</v>
      </c>
    </row>
    <row r="175" ht="13.65" customHeight="1">
      <c r="A175" s="49">
        <v>1191</v>
      </c>
      <c r="B175" s="50">
        <v>40059</v>
      </c>
      <c r="C175" s="51">
        <v>7</v>
      </c>
      <c r="D175" s="51">
        <v>1238</v>
      </c>
      <c r="E175" s="51">
        <v>1238</v>
      </c>
      <c r="F175" s="49">
        <v>0</v>
      </c>
      <c r="G175" s="37">
        <v>0</v>
      </c>
      <c r="H175" s="34">
        <v>2</v>
      </c>
    </row>
    <row r="176" ht="13.65" customHeight="1">
      <c r="A176" s="49">
        <v>1192</v>
      </c>
      <c r="B176" s="50">
        <v>40059</v>
      </c>
      <c r="C176" s="51">
        <v>7</v>
      </c>
      <c r="D176" s="51">
        <v>1311</v>
      </c>
      <c r="E176" s="51">
        <v>1311</v>
      </c>
      <c r="F176" s="49">
        <v>0</v>
      </c>
      <c r="G176" s="37">
        <v>1</v>
      </c>
      <c r="H176" s="34">
        <v>0</v>
      </c>
    </row>
    <row r="177" ht="13.65" customHeight="1">
      <c r="A177" s="49">
        <v>1193</v>
      </c>
      <c r="B177" s="50">
        <v>40059</v>
      </c>
      <c r="C177" s="51">
        <v>7</v>
      </c>
      <c r="D177" s="51">
        <v>1425</v>
      </c>
      <c r="E177" s="51">
        <v>1425</v>
      </c>
      <c r="F177" s="49">
        <v>0</v>
      </c>
      <c r="G177" s="37">
        <v>0</v>
      </c>
      <c r="H177" s="34">
        <v>3</v>
      </c>
    </row>
    <row r="178" ht="13.65" customHeight="1">
      <c r="A178" s="49">
        <v>1194</v>
      </c>
      <c r="B178" s="50">
        <v>40059</v>
      </c>
      <c r="C178" s="51">
        <v>8</v>
      </c>
      <c r="D178" s="51">
        <v>810</v>
      </c>
      <c r="E178" s="51">
        <v>636</v>
      </c>
      <c r="F178" s="49">
        <v>1</v>
      </c>
      <c r="G178" s="37">
        <v>0</v>
      </c>
      <c r="H178" s="34">
        <v>3</v>
      </c>
    </row>
    <row r="179" ht="13.65" customHeight="1">
      <c r="A179" s="49">
        <v>1196</v>
      </c>
      <c r="B179" s="50">
        <v>40059</v>
      </c>
      <c r="C179" s="51">
        <v>7</v>
      </c>
      <c r="D179" s="51">
        <v>1000</v>
      </c>
      <c r="E179" s="51">
        <v>1000</v>
      </c>
      <c r="F179" s="49">
        <v>0</v>
      </c>
      <c r="G179" s="37">
        <v>0</v>
      </c>
      <c r="H179" s="34">
        <v>1</v>
      </c>
    </row>
    <row r="180" ht="13.65" customHeight="1">
      <c r="A180" s="49">
        <v>1197</v>
      </c>
      <c r="B180" s="50">
        <v>40059</v>
      </c>
      <c r="C180" s="51">
        <v>7</v>
      </c>
      <c r="D180" s="51">
        <v>1050</v>
      </c>
      <c r="E180" s="51">
        <v>1050</v>
      </c>
      <c r="F180" s="49">
        <v>0</v>
      </c>
      <c r="G180" s="37">
        <v>0</v>
      </c>
      <c r="H180" s="34">
        <v>2</v>
      </c>
    </row>
    <row r="181" ht="13.65" customHeight="1">
      <c r="A181" s="49">
        <v>1198</v>
      </c>
      <c r="B181" s="50">
        <v>40059</v>
      </c>
      <c r="C181" s="51">
        <v>7</v>
      </c>
      <c r="D181" s="51">
        <v>1126</v>
      </c>
      <c r="E181" s="51">
        <v>1126</v>
      </c>
      <c r="F181" s="49">
        <v>0</v>
      </c>
      <c r="G181" s="37">
        <v>0</v>
      </c>
      <c r="H181" s="34">
        <v>2</v>
      </c>
    </row>
    <row r="182" ht="13.65" customHeight="1">
      <c r="A182" s="49">
        <v>1199</v>
      </c>
      <c r="B182" s="50">
        <v>40059</v>
      </c>
      <c r="C182" s="51">
        <v>8</v>
      </c>
      <c r="D182" s="51">
        <v>476</v>
      </c>
      <c r="E182" s="51">
        <v>274</v>
      </c>
      <c r="F182" s="49">
        <v>1</v>
      </c>
      <c r="G182" s="37">
        <v>0</v>
      </c>
      <c r="H182" s="34">
        <v>3</v>
      </c>
    </row>
    <row r="183" ht="13.65" customHeight="1">
      <c r="A183" s="49">
        <v>1200</v>
      </c>
      <c r="B183" s="50">
        <v>40059</v>
      </c>
      <c r="C183" s="51">
        <v>7</v>
      </c>
      <c r="D183" s="51">
        <v>1325</v>
      </c>
      <c r="E183" s="51">
        <v>1111</v>
      </c>
      <c r="F183" s="49">
        <v>1</v>
      </c>
      <c r="G183" s="37">
        <v>0</v>
      </c>
      <c r="H183" s="34">
        <v>3</v>
      </c>
    </row>
    <row r="184" ht="13.65" customHeight="1">
      <c r="A184" s="49">
        <v>1201</v>
      </c>
      <c r="B184" s="50">
        <v>40059</v>
      </c>
      <c r="C184" s="51">
        <v>7</v>
      </c>
      <c r="D184" s="51">
        <v>1507</v>
      </c>
      <c r="E184" s="51">
        <v>1507</v>
      </c>
      <c r="F184" s="49">
        <v>0</v>
      </c>
      <c r="G184" s="37">
        <v>0</v>
      </c>
      <c r="H184" s="34">
        <v>2</v>
      </c>
    </row>
    <row r="185" ht="13.65" customHeight="1">
      <c r="A185" s="49">
        <v>1202</v>
      </c>
      <c r="B185" s="50">
        <v>40059</v>
      </c>
      <c r="C185" s="51">
        <v>7</v>
      </c>
      <c r="D185" s="51">
        <v>1441</v>
      </c>
      <c r="E185" s="51">
        <v>1441</v>
      </c>
      <c r="F185" s="49">
        <v>0</v>
      </c>
      <c r="G185" s="37">
        <v>1</v>
      </c>
      <c r="H185" s="34">
        <v>0</v>
      </c>
    </row>
    <row r="186" ht="13.65" customHeight="1">
      <c r="A186" s="49">
        <v>1203</v>
      </c>
      <c r="B186" s="50">
        <v>40059</v>
      </c>
      <c r="C186" s="51">
        <v>7</v>
      </c>
      <c r="D186" s="51">
        <v>1371</v>
      </c>
      <c r="E186" s="51">
        <v>1303</v>
      </c>
      <c r="F186" s="49">
        <v>1</v>
      </c>
      <c r="G186" s="37">
        <v>0</v>
      </c>
      <c r="H186" s="7"/>
    </row>
    <row r="187" ht="13.65" customHeight="1">
      <c r="A187" s="49">
        <v>1204</v>
      </c>
      <c r="B187" s="50">
        <v>40059</v>
      </c>
      <c r="C187" s="51">
        <v>7</v>
      </c>
      <c r="D187" s="51">
        <v>1307</v>
      </c>
      <c r="E187" s="51">
        <v>1307</v>
      </c>
      <c r="F187" s="49">
        <v>0</v>
      </c>
      <c r="G187" s="37">
        <v>0</v>
      </c>
      <c r="H187" s="34">
        <v>1</v>
      </c>
    </row>
    <row r="188" ht="13.65" customHeight="1">
      <c r="A188" s="49">
        <v>1205</v>
      </c>
      <c r="B188" s="50">
        <v>40059</v>
      </c>
      <c r="C188" s="51">
        <v>9</v>
      </c>
      <c r="D188" s="51">
        <v>185</v>
      </c>
      <c r="E188" s="51">
        <v>185</v>
      </c>
      <c r="F188" s="49">
        <v>0</v>
      </c>
      <c r="G188" s="37"/>
      <c r="H188" s="7"/>
    </row>
    <row r="189" ht="13.65" customHeight="1">
      <c r="A189" s="49">
        <v>1206</v>
      </c>
      <c r="B189" s="50">
        <v>40059</v>
      </c>
      <c r="C189" s="51">
        <v>8</v>
      </c>
      <c r="D189" s="51">
        <v>481</v>
      </c>
      <c r="E189" s="51">
        <v>481</v>
      </c>
      <c r="F189" s="49">
        <v>1</v>
      </c>
      <c r="G189" s="37">
        <v>0</v>
      </c>
      <c r="H189" s="34">
        <v>2</v>
      </c>
    </row>
    <row r="190" ht="13.65" customHeight="1">
      <c r="A190" s="49">
        <v>1207</v>
      </c>
      <c r="B190" s="50">
        <v>40059</v>
      </c>
      <c r="C190" s="51">
        <v>7</v>
      </c>
      <c r="D190" s="51">
        <v>1357</v>
      </c>
      <c r="E190" s="51">
        <v>1357</v>
      </c>
      <c r="F190" s="49">
        <v>0</v>
      </c>
      <c r="G190" s="37">
        <v>1</v>
      </c>
      <c r="H190" s="34">
        <v>0</v>
      </c>
    </row>
    <row r="191" ht="13.65" customHeight="1">
      <c r="A191" s="49">
        <v>1208</v>
      </c>
      <c r="B191" s="50">
        <v>40059</v>
      </c>
      <c r="C191" s="51">
        <v>7</v>
      </c>
      <c r="D191" s="51">
        <v>1309</v>
      </c>
      <c r="E191" s="51">
        <v>1309</v>
      </c>
      <c r="F191" s="49">
        <v>0</v>
      </c>
      <c r="G191" s="37">
        <v>1</v>
      </c>
      <c r="H191" s="34">
        <v>0</v>
      </c>
    </row>
    <row r="192" ht="13.65" customHeight="1">
      <c r="A192" s="49">
        <v>1209</v>
      </c>
      <c r="B192" s="50">
        <v>40059</v>
      </c>
      <c r="C192" s="51">
        <v>7</v>
      </c>
      <c r="D192" s="51">
        <v>970</v>
      </c>
      <c r="E192" s="51">
        <v>970</v>
      </c>
      <c r="F192" s="49">
        <v>0</v>
      </c>
      <c r="G192" s="37">
        <v>0</v>
      </c>
      <c r="H192" s="34">
        <v>2</v>
      </c>
    </row>
    <row r="193" ht="13.65" customHeight="1">
      <c r="A193" s="49">
        <v>1210</v>
      </c>
      <c r="B193" s="50">
        <v>40059</v>
      </c>
      <c r="C193" s="51">
        <v>7</v>
      </c>
      <c r="D193" s="51">
        <v>1256</v>
      </c>
      <c r="E193" s="51">
        <v>1438</v>
      </c>
      <c r="F193" s="49">
        <v>0</v>
      </c>
      <c r="G193" s="37">
        <v>0</v>
      </c>
      <c r="H193" s="34">
        <v>2</v>
      </c>
    </row>
    <row r="194" ht="13.65" customHeight="1">
      <c r="A194" s="49">
        <v>1211</v>
      </c>
      <c r="B194" s="50">
        <v>40059</v>
      </c>
      <c r="C194" s="51">
        <v>7</v>
      </c>
      <c r="D194" s="51">
        <v>1159</v>
      </c>
      <c r="E194" s="51">
        <v>1159</v>
      </c>
      <c r="F194" s="49">
        <v>0</v>
      </c>
      <c r="G194" s="37">
        <v>0</v>
      </c>
      <c r="H194" s="34">
        <v>2</v>
      </c>
    </row>
    <row r="195" ht="13.65" customHeight="1">
      <c r="A195" s="49">
        <v>1212</v>
      </c>
      <c r="B195" s="50">
        <v>40059</v>
      </c>
      <c r="C195" s="51">
        <v>7</v>
      </c>
      <c r="D195" s="51">
        <v>953</v>
      </c>
      <c r="E195" s="51">
        <v>953</v>
      </c>
      <c r="F195" s="49">
        <v>0</v>
      </c>
      <c r="G195" s="37">
        <v>1</v>
      </c>
      <c r="H195" s="34">
        <v>0</v>
      </c>
    </row>
    <row r="196" ht="13.65" customHeight="1">
      <c r="A196" s="49">
        <v>1213</v>
      </c>
      <c r="B196" s="50">
        <v>40059</v>
      </c>
      <c r="C196" s="51">
        <v>7</v>
      </c>
      <c r="D196" s="51">
        <v>1113</v>
      </c>
      <c r="E196" s="51">
        <v>1113</v>
      </c>
      <c r="F196" s="49">
        <v>0</v>
      </c>
      <c r="G196" s="37">
        <v>0</v>
      </c>
      <c r="H196" s="7"/>
    </row>
    <row r="197" ht="13.65" customHeight="1">
      <c r="A197" s="49">
        <v>1214</v>
      </c>
      <c r="B197" s="50">
        <v>40059</v>
      </c>
      <c r="C197" s="51">
        <v>7</v>
      </c>
      <c r="D197" s="51">
        <v>1335</v>
      </c>
      <c r="E197" s="51">
        <v>1335</v>
      </c>
      <c r="F197" s="49">
        <v>0</v>
      </c>
      <c r="G197" s="37">
        <v>1</v>
      </c>
      <c r="H197" s="34">
        <v>0</v>
      </c>
    </row>
    <row r="198" ht="13.65" customHeight="1">
      <c r="A198" s="49">
        <v>1215</v>
      </c>
      <c r="B198" s="50">
        <v>40059</v>
      </c>
      <c r="C198" s="51">
        <v>7</v>
      </c>
      <c r="D198" s="51">
        <v>836</v>
      </c>
      <c r="E198" s="51">
        <v>478</v>
      </c>
      <c r="F198" s="49">
        <v>1</v>
      </c>
      <c r="G198" s="37">
        <v>1</v>
      </c>
      <c r="H198" s="34">
        <v>0</v>
      </c>
    </row>
    <row r="199" ht="13.65" customHeight="1">
      <c r="A199" s="49">
        <v>1216</v>
      </c>
      <c r="B199" s="50">
        <v>40059</v>
      </c>
      <c r="C199" s="51">
        <v>7</v>
      </c>
      <c r="D199" s="51">
        <v>1302</v>
      </c>
      <c r="E199" s="51">
        <v>644</v>
      </c>
      <c r="F199" s="49">
        <v>1</v>
      </c>
      <c r="G199" s="37">
        <v>1</v>
      </c>
      <c r="H199" s="34">
        <v>0</v>
      </c>
    </row>
    <row r="200" ht="13.65" customHeight="1">
      <c r="A200" s="49">
        <v>1217</v>
      </c>
      <c r="B200" s="50">
        <v>40059</v>
      </c>
      <c r="C200" s="51">
        <v>7</v>
      </c>
      <c r="D200" s="51">
        <v>1213</v>
      </c>
      <c r="E200" s="51">
        <v>1213</v>
      </c>
      <c r="F200" s="49">
        <v>0</v>
      </c>
      <c r="G200" s="37">
        <v>0</v>
      </c>
      <c r="H200" s="7"/>
    </row>
    <row r="201" ht="13.65" customHeight="1">
      <c r="A201" s="49">
        <v>1218</v>
      </c>
      <c r="B201" s="50">
        <v>40059</v>
      </c>
      <c r="C201" s="51">
        <v>7</v>
      </c>
      <c r="D201" s="51">
        <v>1379</v>
      </c>
      <c r="E201" s="51">
        <v>1379</v>
      </c>
      <c r="F201" s="49">
        <v>0</v>
      </c>
      <c r="G201" s="37">
        <v>0</v>
      </c>
      <c r="H201" s="34">
        <v>2</v>
      </c>
    </row>
    <row r="202" ht="13.65" customHeight="1">
      <c r="A202" s="49">
        <v>1219</v>
      </c>
      <c r="B202" s="50">
        <v>40059</v>
      </c>
      <c r="C202" s="51">
        <v>7</v>
      </c>
      <c r="D202" s="51">
        <v>1140</v>
      </c>
      <c r="E202" s="51">
        <v>1183</v>
      </c>
      <c r="F202" s="49">
        <v>0</v>
      </c>
      <c r="G202" s="37">
        <v>0</v>
      </c>
      <c r="H202" s="34">
        <v>2</v>
      </c>
    </row>
    <row r="203" ht="13.65" customHeight="1">
      <c r="A203" s="49">
        <v>1220</v>
      </c>
      <c r="B203" s="50">
        <v>40059</v>
      </c>
      <c r="C203" s="51">
        <v>7</v>
      </c>
      <c r="D203" s="51">
        <v>1227</v>
      </c>
      <c r="E203" s="51">
        <v>1227</v>
      </c>
      <c r="F203" s="49">
        <v>0</v>
      </c>
      <c r="G203" s="37">
        <v>1</v>
      </c>
      <c r="H203" s="34">
        <v>0</v>
      </c>
    </row>
    <row r="204" ht="13.65" customHeight="1">
      <c r="A204" s="49">
        <v>1221</v>
      </c>
      <c r="B204" s="50">
        <v>40059</v>
      </c>
      <c r="C204" s="51">
        <v>7</v>
      </c>
      <c r="D204" s="51">
        <v>1280</v>
      </c>
      <c r="E204" s="51">
        <v>644</v>
      </c>
      <c r="F204" s="49">
        <v>1</v>
      </c>
      <c r="G204" s="37">
        <v>0</v>
      </c>
      <c r="H204" s="34">
        <v>3</v>
      </c>
    </row>
    <row r="205" ht="13.65" customHeight="1">
      <c r="A205" s="49">
        <v>1222</v>
      </c>
      <c r="B205" s="50">
        <v>40059</v>
      </c>
      <c r="C205" s="51">
        <v>7</v>
      </c>
      <c r="D205" s="51">
        <v>1148</v>
      </c>
      <c r="E205" s="51">
        <v>1148</v>
      </c>
      <c r="F205" s="49">
        <v>0</v>
      </c>
      <c r="G205" s="37">
        <v>0</v>
      </c>
      <c r="H205" s="34">
        <v>2</v>
      </c>
    </row>
    <row r="206" ht="13.65" customHeight="1">
      <c r="A206" s="49">
        <v>1223</v>
      </c>
      <c r="B206" s="50">
        <v>40059</v>
      </c>
      <c r="C206" s="51">
        <v>7</v>
      </c>
      <c r="D206" s="51">
        <v>1303</v>
      </c>
      <c r="E206" s="51">
        <v>1303</v>
      </c>
      <c r="F206" s="49">
        <v>0</v>
      </c>
      <c r="G206" s="37">
        <v>0</v>
      </c>
      <c r="H206" s="34">
        <v>2</v>
      </c>
    </row>
    <row r="207" ht="13.65" customHeight="1">
      <c r="A207" s="49">
        <v>1224</v>
      </c>
      <c r="B207" s="50">
        <v>40059</v>
      </c>
      <c r="C207" s="51">
        <v>7</v>
      </c>
      <c r="D207" s="51">
        <v>1048</v>
      </c>
      <c r="E207" s="51">
        <v>1048</v>
      </c>
      <c r="F207" s="49">
        <v>0</v>
      </c>
      <c r="G207" s="37">
        <v>0</v>
      </c>
      <c r="H207" s="34">
        <v>2</v>
      </c>
    </row>
    <row r="208" ht="13.65" customHeight="1">
      <c r="A208" s="49">
        <v>1225</v>
      </c>
      <c r="B208" s="50">
        <v>40059</v>
      </c>
      <c r="C208" s="51">
        <v>7</v>
      </c>
      <c r="D208" s="51">
        <v>1115</v>
      </c>
      <c r="E208" s="51">
        <v>1332</v>
      </c>
      <c r="F208" s="49">
        <v>0</v>
      </c>
      <c r="G208" s="37">
        <v>0</v>
      </c>
      <c r="H208" s="34">
        <v>2</v>
      </c>
    </row>
    <row r="209" ht="13.65" customHeight="1">
      <c r="A209" s="49">
        <v>1226</v>
      </c>
      <c r="B209" s="50">
        <v>40059</v>
      </c>
      <c r="C209" s="51">
        <v>7</v>
      </c>
      <c r="D209" s="51">
        <v>1272</v>
      </c>
      <c r="E209" s="51">
        <v>1272</v>
      </c>
      <c r="F209" s="49">
        <v>0</v>
      </c>
      <c r="G209" s="37">
        <v>0</v>
      </c>
      <c r="H209" s="34">
        <v>2</v>
      </c>
    </row>
    <row r="210" ht="13.65" customHeight="1">
      <c r="A210" s="49">
        <v>1227</v>
      </c>
      <c r="B210" s="50">
        <v>40059</v>
      </c>
      <c r="C210" s="51">
        <v>7</v>
      </c>
      <c r="D210" s="51">
        <v>1234</v>
      </c>
      <c r="E210" s="51">
        <v>1234</v>
      </c>
      <c r="F210" s="49">
        <v>0</v>
      </c>
      <c r="G210" s="37">
        <v>1</v>
      </c>
      <c r="H210" s="34">
        <v>0</v>
      </c>
    </row>
    <row r="211" ht="13.65" customHeight="1">
      <c r="A211" s="49">
        <v>1228</v>
      </c>
      <c r="B211" s="50">
        <v>40059</v>
      </c>
      <c r="C211" s="51">
        <v>7</v>
      </c>
      <c r="D211" s="51">
        <v>1251</v>
      </c>
      <c r="E211" s="51">
        <v>1251</v>
      </c>
      <c r="F211" s="49">
        <v>0</v>
      </c>
      <c r="G211" s="37">
        <v>1</v>
      </c>
      <c r="H211" s="34">
        <v>0</v>
      </c>
    </row>
    <row r="212" ht="13.65" customHeight="1">
      <c r="A212" s="49">
        <v>1229</v>
      </c>
      <c r="B212" s="50">
        <v>40059</v>
      </c>
      <c r="C212" s="51">
        <v>7</v>
      </c>
      <c r="D212" s="51">
        <v>1117</v>
      </c>
      <c r="E212" s="51">
        <v>1117</v>
      </c>
      <c r="F212" s="49">
        <v>0</v>
      </c>
      <c r="G212" s="37">
        <v>1</v>
      </c>
      <c r="H212" s="34">
        <v>0</v>
      </c>
    </row>
    <row r="213" ht="13.65" customHeight="1">
      <c r="A213" s="49">
        <v>1230</v>
      </c>
      <c r="B213" s="50">
        <v>40059</v>
      </c>
      <c r="C213" s="51">
        <v>8</v>
      </c>
      <c r="D213" s="51">
        <v>187</v>
      </c>
      <c r="E213" s="51">
        <v>180</v>
      </c>
      <c r="F213" s="49">
        <v>1</v>
      </c>
      <c r="G213" s="37">
        <v>0</v>
      </c>
      <c r="H213" s="34">
        <v>3</v>
      </c>
    </row>
    <row r="214" ht="13.65" customHeight="1">
      <c r="A214" s="49">
        <v>1231</v>
      </c>
      <c r="B214" s="50">
        <v>40059</v>
      </c>
      <c r="C214" s="51">
        <v>7</v>
      </c>
      <c r="D214" s="51">
        <v>1251</v>
      </c>
      <c r="E214" s="51">
        <v>1251</v>
      </c>
      <c r="F214" s="49">
        <v>0</v>
      </c>
      <c r="G214" s="37">
        <v>0</v>
      </c>
      <c r="H214" s="34">
        <v>2</v>
      </c>
    </row>
    <row r="215" ht="13.65" customHeight="1">
      <c r="A215" s="49">
        <v>1232</v>
      </c>
      <c r="B215" s="50">
        <v>40059</v>
      </c>
      <c r="C215" s="51">
        <v>7</v>
      </c>
      <c r="D215" s="51">
        <v>1197</v>
      </c>
      <c r="E215" s="51">
        <v>1197</v>
      </c>
      <c r="F215" s="49">
        <v>0</v>
      </c>
      <c r="G215" s="37">
        <v>0</v>
      </c>
      <c r="H215" s="34">
        <v>2</v>
      </c>
    </row>
    <row r="216" ht="13.65" customHeight="1">
      <c r="A216" s="49">
        <v>1233</v>
      </c>
      <c r="B216" s="50">
        <v>40059</v>
      </c>
      <c r="C216" s="51">
        <v>7</v>
      </c>
      <c r="D216" s="51">
        <v>1076</v>
      </c>
      <c r="E216" s="51">
        <v>1076</v>
      </c>
      <c r="F216" s="49">
        <v>0</v>
      </c>
      <c r="G216" s="37">
        <v>0</v>
      </c>
      <c r="H216" s="34">
        <v>2</v>
      </c>
    </row>
    <row r="217" ht="13.65" customHeight="1">
      <c r="A217" s="49">
        <v>1234</v>
      </c>
      <c r="B217" s="50">
        <v>40059</v>
      </c>
      <c r="C217" s="51">
        <v>7</v>
      </c>
      <c r="D217" s="51">
        <v>694</v>
      </c>
      <c r="E217" s="51">
        <v>694</v>
      </c>
      <c r="F217" s="49">
        <v>0</v>
      </c>
      <c r="G217" s="37">
        <v>1</v>
      </c>
      <c r="H217" s="34">
        <v>0</v>
      </c>
    </row>
    <row r="218" ht="13.65" customHeight="1">
      <c r="A218" s="49">
        <v>1235</v>
      </c>
      <c r="B218" s="50">
        <v>40059</v>
      </c>
      <c r="C218" s="51">
        <v>7</v>
      </c>
      <c r="D218" s="51">
        <v>1026</v>
      </c>
      <c r="E218" s="51">
        <v>1026</v>
      </c>
      <c r="F218" s="49">
        <v>0</v>
      </c>
      <c r="G218" s="37">
        <v>1</v>
      </c>
      <c r="H218" s="34">
        <v>0</v>
      </c>
    </row>
    <row r="219" ht="13.65" customHeight="1">
      <c r="A219" s="49">
        <v>1236</v>
      </c>
      <c r="B219" s="50">
        <v>40059</v>
      </c>
      <c r="C219" s="51">
        <v>8</v>
      </c>
      <c r="D219" s="51">
        <v>832</v>
      </c>
      <c r="E219" s="51">
        <v>510</v>
      </c>
      <c r="F219" s="49">
        <v>1</v>
      </c>
      <c r="G219" s="37">
        <v>0</v>
      </c>
      <c r="H219" s="34">
        <v>3</v>
      </c>
    </row>
    <row r="220" ht="13.65" customHeight="1">
      <c r="A220" s="49">
        <v>1237</v>
      </c>
      <c r="B220" s="50">
        <v>40059</v>
      </c>
      <c r="C220" s="51">
        <v>7</v>
      </c>
      <c r="D220" s="51">
        <v>1031</v>
      </c>
      <c r="E220" s="51">
        <v>1031</v>
      </c>
      <c r="F220" s="49">
        <v>0</v>
      </c>
      <c r="G220" s="37">
        <v>0</v>
      </c>
      <c r="H220" s="34">
        <v>2</v>
      </c>
    </row>
    <row r="221" ht="13.65" customHeight="1">
      <c r="A221" s="49">
        <v>1238</v>
      </c>
      <c r="B221" s="50">
        <v>40059</v>
      </c>
      <c r="C221" s="51">
        <v>7</v>
      </c>
      <c r="D221" s="51">
        <v>1248</v>
      </c>
      <c r="E221" s="51">
        <v>1248</v>
      </c>
      <c r="F221" s="49">
        <v>0</v>
      </c>
      <c r="G221" s="37">
        <v>0</v>
      </c>
      <c r="H221" s="7"/>
    </row>
    <row r="222" ht="13.65" customHeight="1">
      <c r="A222" s="49">
        <v>1239</v>
      </c>
      <c r="B222" s="50">
        <v>40059</v>
      </c>
      <c r="C222" s="51">
        <v>7</v>
      </c>
      <c r="D222" s="51">
        <v>1155</v>
      </c>
      <c r="E222" s="51">
        <v>1155</v>
      </c>
      <c r="F222" s="49">
        <v>0</v>
      </c>
      <c r="G222" s="37">
        <v>0</v>
      </c>
      <c r="H222" s="34">
        <v>1</v>
      </c>
    </row>
  </sheetData>
  <pageMargins left="0.75" right="0.75" top="0" bottom="0"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